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ResolveToSaveLives/Assessment/uw-rtsl-assessment/data/processed/"/>
    </mc:Choice>
  </mc:AlternateContent>
  <xr:revisionPtr revIDLastSave="41" documentId="8_{8DC46300-379D-45F4-AF63-51DEA25FCC9E}" xr6:coauthVersionLast="47" xr6:coauthVersionMax="47" xr10:uidLastSave="{5EC3DFA1-1E03-433F-99F3-896FC982E26B}"/>
  <bookViews>
    <workbookView xWindow="-108" yWindow="-108" windowWidth="23256" windowHeight="12456" xr2:uid="{8D458B58-B8DE-4EEC-985D-9369E173288B}"/>
  </bookViews>
  <sheets>
    <sheet name="htn_control_targets_by_loc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3" i="1" l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I2" i="1"/>
  <c r="H2" i="1"/>
  <c r="G2" i="1"/>
</calcChain>
</file>

<file path=xl/sharedStrings.xml><?xml version="1.0" encoding="utf-8"?>
<sst xmlns="http://schemas.openxmlformats.org/spreadsheetml/2006/main" count="232" uniqueCount="200">
  <si>
    <t>location</t>
  </si>
  <si>
    <t>htncov2</t>
  </si>
  <si>
    <t>htncov2_aspirational</t>
  </si>
  <si>
    <t>htncov2_ambitious</t>
  </si>
  <si>
    <t>htncov2_progress</t>
  </si>
  <si>
    <t>htn_ctrl_diabetes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</si>
  <si>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</si>
  <si>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</si>
  <si>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</si>
  <si>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</si>
  <si>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</si>
  <si>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</si>
  <si>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</si>
  <si>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</si>
  <si>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</si>
  <si>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</si>
  <si>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</si>
  <si>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</si>
  <si>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</si>
  <si>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</si>
  <si>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</si>
  <si>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</si>
  <si>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</si>
  <si>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</si>
  <si>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</si>
  <si>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</si>
  <si>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</si>
  <si>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</si>
  <si>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</si>
  <si>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</si>
  <si>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</si>
  <si>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</si>
  <si>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</si>
  <si>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</si>
  <si>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</si>
  <si>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</si>
  <si>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</si>
  <si>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</si>
  <si>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</si>
  <si>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</si>
  <si>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</si>
  <si>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</si>
  <si>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</si>
  <si>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</si>
  <si>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</si>
  <si>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</si>
  <si>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</si>
  <si>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</si>
  <si>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</si>
  <si>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</si>
  <si>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</si>
  <si>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</si>
  <si>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</si>
  <si>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</si>
  <si>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</si>
  <si>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</si>
  <si>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</si>
  <si>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</si>
  <si>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</si>
  <si>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</si>
  <si>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</si>
  <si>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</si>
  <si>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</si>
  <si>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</si>
  <si>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</si>
  <si>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</si>
  <si>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</si>
  <si>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</si>
  <si>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</si>
  <si>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</si>
  <si>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</si>
  <si>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</si>
  <si>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</si>
  <si>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</si>
  <si>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</si>
  <si>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</si>
  <si>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</si>
  <si>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</si>
  <si>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</si>
  <si>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</si>
  <si>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</si>
  <si>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</si>
  <si>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</si>
  <si>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</si>
  <si>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</si>
  <si>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</si>
  <si>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</si>
  <si>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</si>
  <si>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</si>
  <si>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</si>
  <si>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</si>
  <si>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</si>
  <si>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</si>
  <si>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</si>
  <si>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</si>
  <si>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</si>
  <si>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</si>
  <si>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</si>
  <si>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</si>
  <si>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</si>
  <si>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</si>
  <si>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</si>
  <si>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</si>
  <si>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</si>
  <si>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</si>
  <si>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</si>
  <si>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</si>
  <si>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</si>
  <si>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</si>
  <si>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</si>
  <si>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</si>
  <si>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</si>
  <si>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</si>
  <si>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</si>
  <si>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</si>
  <si>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</si>
  <si>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</si>
  <si>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</si>
  <si>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</si>
  <si>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</si>
  <si>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</si>
  <si>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</si>
  <si>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</si>
  <si>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</si>
  <si>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</si>
  <si>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</si>
  <si>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</si>
  <si>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</si>
  <si>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</si>
  <si>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</si>
  <si>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</si>
  <si>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</si>
  <si>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</si>
  <si>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</si>
  <si>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</si>
  <si>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</si>
  <si>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</si>
  <si>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</si>
  <si>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</si>
  <si>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</si>
  <si>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</si>
  <si>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</si>
  <si>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</si>
  <si>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</si>
  <si>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</si>
  <si>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</si>
  <si>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</si>
  <si>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</si>
  <si>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</si>
  <si>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</si>
  <si>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</si>
  <si>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</si>
  <si>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</si>
  <si>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</si>
  <si>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</si>
  <si>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</si>
  <si>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</si>
  <si>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</si>
  <si>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</si>
  <si>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</si>
  <si>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</si>
  <si>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</si>
  <si>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</si>
  <si>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</si>
  <si>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</si>
  <si>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</si>
  <si>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</si>
  <si>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</si>
  <si>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</si>
  <si>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</si>
  <si>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</si>
  <si>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</si>
  <si>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</si>
  <si>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</si>
  <si>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Taiwan (Province of China)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</si>
  <si>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</si>
  <si>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</si>
  <si>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</si>
  <si>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</si>
  <si>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</si>
  <si>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</si>
  <si>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</si>
  <si>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</si>
  <si>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</si>
  <si>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</si>
  <si>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</si>
  <si>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</si>
  <si>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</si>
  <si>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</si>
  <si>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</si>
  <si>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</si>
  <si>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</si>
  <si>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</si>
  <si>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</si>
  <si>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</si>
  <si>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</si>
  <si>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</si>
  <si>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control_rate_program</t>
  </si>
  <si>
    <t>control_rate_bau_upper</t>
  </si>
  <si>
    <t>control_rate_bau_conservative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</si>
</sst>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7770-F677-44AE-9028-51CAA224A8B7}">
  <dimension ref="A1:I192"/>
  <sheetViews>
    <sheetView tabSelected="1" topLeftCell="A121" zoomScale="115" zoomScaleNormal="115" workbookViewId="0">
      <selection activeCell="I5" sqref="I5"/>
    </sheetView>
  </sheetViews>
  <sheetFormatPr defaultRowHeight="14.4" x14ac:dyDescent="0.3"/>
  <cols>
    <col min="3" max="3" width="18.21875" bestFit="1" customWidth="1"/>
    <col min="4" max="4" width="16.6640625" bestFit="1" customWidth="1"/>
    <col min="5" max="5" width="15.33203125" bestFit="1" customWidth="1"/>
    <col min="6" max="6" width="15" bestFit="1" customWidth="1"/>
    <col min="7" max="7" width="18.44140625" bestFit="1" customWidth="1"/>
    <col min="8" max="8" width="20.44140625" bestFit="1" customWidth="1"/>
    <col min="9" max="9" width="2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197</v>
      </c>
      <c r="H1" t="s">
        <v>198</v>
      </c>
      <c r="I1" t="s">
        <v>199</v>
      </c>
    </row>
    <row r="2" spans="1:9" x14ac:dyDescent="0.3">
      <c r="A2" t="s">
        <v>6</v>
      </c>
      <c r="B2">
        <v>0.12488201945553599</v>
      </c>
      <c r="C2">
        <v>0.5</v>
      </c>
      <c r="D2">
        <v>0.175776534673387</v>
      </c>
      <c r="E2">
        <v>0.154502627312325</v>
      </c>
      <c r="F2">
        <v>0.27488201945553598</v>
      </c>
      <c r="G2" t="str">
        <f>IFERROR(VLOOKUP($A2,Sheet1!$A$1:$D$29,2,0),"")</f>
        <v/>
      </c>
      <c r="H2" t="str">
        <f>IFERROR(VLOOKUP($A2,Sheet1!$A$1:$D$29,3,0),"")</f>
        <v/>
      </c>
      <c r="I2" t="str">
        <f>IFERROR(VLOOKUP($A2,Sheet1!$A$1:$D$29,4,0),"")</f>
        <v/>
      </c>
    </row>
    <row r="3" spans="1:9" x14ac:dyDescent="0.3">
      <c r="A3" t="s">
        <v>7</v>
      </c>
      <c r="B3">
        <v>6.8413228107856897E-2</v>
      </c>
      <c r="C3">
        <v>0.5</v>
      </c>
      <c r="D3">
        <v>0.119307743325708</v>
      </c>
      <c r="E3">
        <v>9.8033835964646196E-2</v>
      </c>
      <c r="F3">
        <v>0.21841322810785699</v>
      </c>
      <c r="G3" t="str">
        <f>IFERROR(VLOOKUP($A3,Sheet1!$A$1:$D$29,2,0),"")</f>
        <v/>
      </c>
      <c r="H3" t="str">
        <f>IFERROR(VLOOKUP($A3,Sheet1!$A$1:$D$29,3,0),"")</f>
        <v/>
      </c>
      <c r="I3" t="str">
        <f>IFERROR(VLOOKUP($A3,Sheet1!$A$1:$D$29,4,0),"")</f>
        <v/>
      </c>
    </row>
    <row r="4" spans="1:9" x14ac:dyDescent="0.3">
      <c r="A4" t="s">
        <v>8</v>
      </c>
      <c r="B4">
        <v>0.13800482709131401</v>
      </c>
      <c r="C4">
        <v>0.5</v>
      </c>
      <c r="D4">
        <v>0.188899342309165</v>
      </c>
      <c r="E4">
        <v>0.167625434948103</v>
      </c>
      <c r="F4">
        <v>0.28800482709131398</v>
      </c>
      <c r="G4" t="str">
        <f>IFERROR(VLOOKUP($A4,Sheet1!$A$1:$D$29,2,0),"")</f>
        <v/>
      </c>
      <c r="H4" t="str">
        <f>IFERROR(VLOOKUP($A4,Sheet1!$A$1:$D$29,3,0),"")</f>
        <v/>
      </c>
      <c r="I4" t="str">
        <f>IFERROR(VLOOKUP($A4,Sheet1!$A$1:$D$29,4,0),"")</f>
        <v/>
      </c>
    </row>
    <row r="5" spans="1:9" x14ac:dyDescent="0.3">
      <c r="A5" t="s">
        <v>9</v>
      </c>
      <c r="B5">
        <v>9.7576806337281399E-2</v>
      </c>
      <c r="C5">
        <v>0.5</v>
      </c>
      <c r="D5">
        <v>0.14847132155513201</v>
      </c>
      <c r="E5">
        <v>0.12719741419407099</v>
      </c>
      <c r="F5">
        <v>0.24757680633728099</v>
      </c>
      <c r="G5" t="str">
        <f>IFERROR(VLOOKUP($A5,Sheet1!$A$1:$D$29,2,0),"")</f>
        <v/>
      </c>
      <c r="H5" t="str">
        <f>IFERROR(VLOOKUP($A5,Sheet1!$A$1:$D$29,3,0),"")</f>
        <v/>
      </c>
      <c r="I5" t="str">
        <f>IFERROR(VLOOKUP($A5,Sheet1!$A$1:$D$29,4,0),"")</f>
        <v/>
      </c>
    </row>
    <row r="6" spans="1:9" x14ac:dyDescent="0.3">
      <c r="A6" t="s">
        <v>10</v>
      </c>
      <c r="B6">
        <v>0.308006190211362</v>
      </c>
      <c r="C6">
        <v>0.5</v>
      </c>
      <c r="D6">
        <v>0.35890070542921299</v>
      </c>
      <c r="E6">
        <v>0.33762679806815099</v>
      </c>
      <c r="F6">
        <v>0.45800619021136202</v>
      </c>
      <c r="G6" t="str">
        <f>IFERROR(VLOOKUP($A6,Sheet1!$A$1:$D$29,2,0),"")</f>
        <v/>
      </c>
      <c r="H6" t="str">
        <f>IFERROR(VLOOKUP($A6,Sheet1!$A$1:$D$29,3,0),"")</f>
        <v/>
      </c>
      <c r="I6" t="str">
        <f>IFERROR(VLOOKUP($A6,Sheet1!$A$1:$D$29,4,0),"")</f>
        <v/>
      </c>
    </row>
    <row r="7" spans="1:9" x14ac:dyDescent="0.3">
      <c r="A7" t="s">
        <v>11</v>
      </c>
      <c r="B7">
        <v>0.107290556029932</v>
      </c>
      <c r="C7">
        <v>0.5</v>
      </c>
      <c r="D7">
        <v>0.158185071247783</v>
      </c>
      <c r="E7">
        <v>0.136911163886721</v>
      </c>
      <c r="F7">
        <v>0.257290556029932</v>
      </c>
      <c r="G7" t="str">
        <f>IFERROR(VLOOKUP($A7,Sheet1!$A$1:$D$29,2,0),"")</f>
        <v/>
      </c>
      <c r="H7" t="str">
        <f>IFERROR(VLOOKUP($A7,Sheet1!$A$1:$D$29,3,0),"")</f>
        <v/>
      </c>
      <c r="I7" t="str">
        <f>IFERROR(VLOOKUP($A7,Sheet1!$A$1:$D$29,4,0),"")</f>
        <v/>
      </c>
    </row>
    <row r="8" spans="1:9" x14ac:dyDescent="0.3">
      <c r="A8" t="s">
        <v>12</v>
      </c>
      <c r="B8">
        <v>0.20336407349089999</v>
      </c>
      <c r="C8">
        <v>0.5</v>
      </c>
      <c r="D8">
        <v>0.25425858870875101</v>
      </c>
      <c r="E8">
        <v>0.23298468134768899</v>
      </c>
      <c r="F8">
        <v>0.35336407349089999</v>
      </c>
      <c r="G8" t="str">
        <f>IFERROR(VLOOKUP($A8,Sheet1!$A$1:$D$29,2,0),"")</f>
        <v/>
      </c>
      <c r="H8" t="str">
        <f>IFERROR(VLOOKUP($A8,Sheet1!$A$1:$D$29,3,0),"")</f>
        <v/>
      </c>
      <c r="I8" t="str">
        <f>IFERROR(VLOOKUP($A8,Sheet1!$A$1:$D$29,4,0),"")</f>
        <v/>
      </c>
    </row>
    <row r="9" spans="1:9" x14ac:dyDescent="0.3">
      <c r="A9" t="s">
        <v>13</v>
      </c>
      <c r="B9">
        <v>0.123638651013072</v>
      </c>
      <c r="C9">
        <v>0.5</v>
      </c>
      <c r="D9">
        <v>0.17453316623092299</v>
      </c>
      <c r="E9">
        <v>0.153259258869861</v>
      </c>
      <c r="F9">
        <v>0.273638651013072</v>
      </c>
      <c r="G9">
        <f>IFERROR(VLOOKUP($A9,Sheet1!$A$1:$D$29,2,0),"")</f>
        <v>0.32210414361446199</v>
      </c>
      <c r="H9">
        <f>IFERROR(VLOOKUP($A9,Sheet1!$A$1:$D$29,3,0),"")</f>
        <v>0</v>
      </c>
      <c r="I9">
        <f>IFERROR(VLOOKUP($A9,Sheet1!$A$1:$D$29,4,0),"")</f>
        <v>0.123638651013072</v>
      </c>
    </row>
    <row r="10" spans="1:9" x14ac:dyDescent="0.3">
      <c r="A10" t="s">
        <v>14</v>
      </c>
      <c r="B10">
        <v>8.0842911899361602E-2</v>
      </c>
      <c r="C10">
        <v>0.5</v>
      </c>
      <c r="D10">
        <v>0.13173742711721301</v>
      </c>
      <c r="E10">
        <v>0.110463519756151</v>
      </c>
      <c r="F10">
        <v>0.23084291189936201</v>
      </c>
      <c r="G10" t="str">
        <f>IFERROR(VLOOKUP($A10,Sheet1!$A$1:$D$29,2,0),"")</f>
        <v/>
      </c>
      <c r="H10" t="str">
        <f>IFERROR(VLOOKUP($A10,Sheet1!$A$1:$D$29,3,0),"")</f>
        <v/>
      </c>
      <c r="I10" t="str">
        <f>IFERROR(VLOOKUP($A10,Sheet1!$A$1:$D$29,4,0),"")</f>
        <v/>
      </c>
    </row>
    <row r="11" spans="1:9" x14ac:dyDescent="0.3">
      <c r="A11" t="s">
        <v>15</v>
      </c>
      <c r="B11">
        <v>0.25152592700843301</v>
      </c>
      <c r="C11">
        <v>0.5</v>
      </c>
      <c r="D11">
        <v>0.302420442226284</v>
      </c>
      <c r="E11">
        <v>0.28114653486522201</v>
      </c>
      <c r="F11">
        <v>0.40152592700843298</v>
      </c>
      <c r="G11" t="str">
        <f>IFERROR(VLOOKUP($A11,Sheet1!$A$1:$D$29,2,0),"")</f>
        <v/>
      </c>
      <c r="H11" t="str">
        <f>IFERROR(VLOOKUP($A11,Sheet1!$A$1:$D$29,3,0),"")</f>
        <v/>
      </c>
      <c r="I11" t="str">
        <f>IFERROR(VLOOKUP($A11,Sheet1!$A$1:$D$29,4,0),"")</f>
        <v/>
      </c>
    </row>
    <row r="12" spans="1:9" x14ac:dyDescent="0.3">
      <c r="A12" t="s">
        <v>16</v>
      </c>
      <c r="B12">
        <v>0.27425232099621799</v>
      </c>
      <c r="C12">
        <v>0.5</v>
      </c>
      <c r="D12">
        <v>0.32514683621406898</v>
      </c>
      <c r="E12">
        <v>0.30387292885300698</v>
      </c>
      <c r="F12">
        <v>0.42425232099621801</v>
      </c>
      <c r="G12" t="str">
        <f>IFERROR(VLOOKUP($A12,Sheet1!$A$1:$D$29,2,0),"")</f>
        <v/>
      </c>
      <c r="H12" t="str">
        <f>IFERROR(VLOOKUP($A12,Sheet1!$A$1:$D$29,3,0),"")</f>
        <v/>
      </c>
      <c r="I12" t="str">
        <f>IFERROR(VLOOKUP($A12,Sheet1!$A$1:$D$29,4,0),"")</f>
        <v/>
      </c>
    </row>
    <row r="13" spans="1:9" x14ac:dyDescent="0.3">
      <c r="A13" t="s">
        <v>17</v>
      </c>
      <c r="B13">
        <v>0.11381297762053599</v>
      </c>
      <c r="C13">
        <v>0.5</v>
      </c>
      <c r="D13">
        <v>0.16470749283838701</v>
      </c>
      <c r="E13">
        <v>0.14343358547732499</v>
      </c>
      <c r="F13">
        <v>0.26381297762053602</v>
      </c>
      <c r="G13" t="str">
        <f>IFERROR(VLOOKUP($A13,Sheet1!$A$1:$D$29,2,0),"")</f>
        <v/>
      </c>
      <c r="H13" t="str">
        <f>IFERROR(VLOOKUP($A13,Sheet1!$A$1:$D$29,3,0),"")</f>
        <v/>
      </c>
      <c r="I13" t="str">
        <f>IFERROR(VLOOKUP($A13,Sheet1!$A$1:$D$29,4,0),"")</f>
        <v/>
      </c>
    </row>
    <row r="14" spans="1:9" x14ac:dyDescent="0.3">
      <c r="A14" t="s">
        <v>18</v>
      </c>
      <c r="B14">
        <v>0.18854787089047201</v>
      </c>
      <c r="C14">
        <v>0.5</v>
      </c>
      <c r="D14">
        <v>0.239442386108323</v>
      </c>
      <c r="E14">
        <v>0.218168478747261</v>
      </c>
      <c r="F14">
        <v>0.338547870890472</v>
      </c>
      <c r="G14" t="str">
        <f>IFERROR(VLOOKUP($A14,Sheet1!$A$1:$D$29,2,0),"")</f>
        <v/>
      </c>
      <c r="H14" t="str">
        <f>IFERROR(VLOOKUP($A14,Sheet1!$A$1:$D$29,3,0),"")</f>
        <v/>
      </c>
      <c r="I14" t="str">
        <f>IFERROR(VLOOKUP($A14,Sheet1!$A$1:$D$29,4,0),"")</f>
        <v/>
      </c>
    </row>
    <row r="15" spans="1:9" x14ac:dyDescent="0.3">
      <c r="A15" t="s">
        <v>19</v>
      </c>
      <c r="B15">
        <v>0.17520933396385699</v>
      </c>
      <c r="C15">
        <v>0.5</v>
      </c>
      <c r="D15">
        <v>0.22610384918170801</v>
      </c>
      <c r="E15">
        <v>0.20482994182064601</v>
      </c>
      <c r="F15">
        <v>0.32520933396385698</v>
      </c>
      <c r="G15" t="str">
        <f>IFERROR(VLOOKUP($A15,Sheet1!$A$1:$D$29,2,0),"")</f>
        <v/>
      </c>
      <c r="H15" t="str">
        <f>IFERROR(VLOOKUP($A15,Sheet1!$A$1:$D$29,3,0),"")</f>
        <v/>
      </c>
      <c r="I15" t="str">
        <f>IFERROR(VLOOKUP($A15,Sheet1!$A$1:$D$29,4,0),"")</f>
        <v/>
      </c>
    </row>
    <row r="16" spans="1:9" x14ac:dyDescent="0.3">
      <c r="A16" t="s">
        <v>20</v>
      </c>
      <c r="B16">
        <v>0.143925810911918</v>
      </c>
      <c r="C16">
        <v>0.5</v>
      </c>
      <c r="D16">
        <v>0.19482032612976899</v>
      </c>
      <c r="E16">
        <v>0.17354641876870699</v>
      </c>
      <c r="F16">
        <v>0.293925810911918</v>
      </c>
      <c r="G16">
        <f>IFERROR(VLOOKUP($A16,Sheet1!$A$1:$D$29,2,0),"")</f>
        <v>0.38969150967382499</v>
      </c>
      <c r="H16">
        <f>IFERROR(VLOOKUP($A16,Sheet1!$A$1:$D$29,3,0),"")</f>
        <v>0</v>
      </c>
      <c r="I16">
        <f>IFERROR(VLOOKUP($A16,Sheet1!$A$1:$D$29,4,0),"")</f>
        <v>0.143925810911918</v>
      </c>
    </row>
    <row r="17" spans="1:9" x14ac:dyDescent="0.3">
      <c r="A17" t="s">
        <v>21</v>
      </c>
      <c r="B17">
        <v>0.311016143257068</v>
      </c>
      <c r="C17">
        <v>0.5</v>
      </c>
      <c r="D17">
        <v>0.36191065847491899</v>
      </c>
      <c r="E17">
        <v>0.34063675111385699</v>
      </c>
      <c r="F17">
        <v>0.46101614325706802</v>
      </c>
      <c r="G17" t="str">
        <f>IFERROR(VLOOKUP($A17,Sheet1!$A$1:$D$29,2,0),"")</f>
        <v/>
      </c>
      <c r="H17" t="str">
        <f>IFERROR(VLOOKUP($A17,Sheet1!$A$1:$D$29,3,0),"")</f>
        <v/>
      </c>
      <c r="I17" t="str">
        <f>IFERROR(VLOOKUP($A17,Sheet1!$A$1:$D$29,4,0),"")</f>
        <v/>
      </c>
    </row>
    <row r="18" spans="1:9" x14ac:dyDescent="0.3">
      <c r="A18" t="s">
        <v>22</v>
      </c>
      <c r="B18">
        <v>8.1051727009417096E-2</v>
      </c>
      <c r="C18">
        <v>0.5</v>
      </c>
      <c r="D18">
        <v>0.131946242227268</v>
      </c>
      <c r="E18">
        <v>0.11067233486620601</v>
      </c>
      <c r="F18">
        <v>0.23105172700941701</v>
      </c>
      <c r="G18" t="str">
        <f>IFERROR(VLOOKUP($A18,Sheet1!$A$1:$D$29,2,0),"")</f>
        <v/>
      </c>
      <c r="H18" t="str">
        <f>IFERROR(VLOOKUP($A18,Sheet1!$A$1:$D$29,3,0),"")</f>
        <v/>
      </c>
      <c r="I18" t="str">
        <f>IFERROR(VLOOKUP($A18,Sheet1!$A$1:$D$29,4,0),"")</f>
        <v/>
      </c>
    </row>
    <row r="19" spans="1:9" x14ac:dyDescent="0.3">
      <c r="A19" t="s">
        <v>23</v>
      </c>
      <c r="B19">
        <v>0.35516680013923702</v>
      </c>
      <c r="C19">
        <v>0.5</v>
      </c>
      <c r="D19">
        <v>0.406061315357088</v>
      </c>
      <c r="E19">
        <v>0.38478740799602601</v>
      </c>
      <c r="F19">
        <v>0.50516680013923698</v>
      </c>
      <c r="G19" t="str">
        <f>IFERROR(VLOOKUP($A19,Sheet1!$A$1:$D$29,2,0),"")</f>
        <v/>
      </c>
      <c r="H19" t="str">
        <f>IFERROR(VLOOKUP($A19,Sheet1!$A$1:$D$29,3,0),"")</f>
        <v/>
      </c>
      <c r="I19" t="str">
        <f>IFERROR(VLOOKUP($A19,Sheet1!$A$1:$D$29,4,0),"")</f>
        <v/>
      </c>
    </row>
    <row r="20" spans="1:9" x14ac:dyDescent="0.3">
      <c r="A20" t="s">
        <v>24</v>
      </c>
      <c r="B20">
        <v>0.18589208811655999</v>
      </c>
      <c r="C20">
        <v>0.5</v>
      </c>
      <c r="D20">
        <v>0.23678660333441101</v>
      </c>
      <c r="E20">
        <v>0.21551269597334899</v>
      </c>
      <c r="F20">
        <v>0.33589208811656002</v>
      </c>
      <c r="G20" t="str">
        <f>IFERROR(VLOOKUP($A20,Sheet1!$A$1:$D$29,2,0),"")</f>
        <v/>
      </c>
      <c r="H20" t="str">
        <f>IFERROR(VLOOKUP($A20,Sheet1!$A$1:$D$29,3,0),"")</f>
        <v/>
      </c>
      <c r="I20" t="str">
        <f>IFERROR(VLOOKUP($A20,Sheet1!$A$1:$D$29,4,0),"")</f>
        <v/>
      </c>
    </row>
    <row r="21" spans="1:9" x14ac:dyDescent="0.3">
      <c r="A21" t="s">
        <v>25</v>
      </c>
      <c r="B21">
        <v>8.8258284884828897E-2</v>
      </c>
      <c r="C21">
        <v>0.5</v>
      </c>
      <c r="D21">
        <v>0.13915280010268</v>
      </c>
      <c r="E21">
        <v>0.117878892741618</v>
      </c>
      <c r="F21">
        <v>0.238258284884829</v>
      </c>
      <c r="G21" t="str">
        <f>IFERROR(VLOOKUP($A21,Sheet1!$A$1:$D$29,2,0),"")</f>
        <v/>
      </c>
      <c r="H21" t="str">
        <f>IFERROR(VLOOKUP($A21,Sheet1!$A$1:$D$29,3,0),"")</f>
        <v/>
      </c>
      <c r="I21" t="str">
        <f>IFERROR(VLOOKUP($A21,Sheet1!$A$1:$D$29,4,0),"")</f>
        <v/>
      </c>
    </row>
    <row r="22" spans="1:9" x14ac:dyDescent="0.3">
      <c r="A22" t="s">
        <v>26</v>
      </c>
      <c r="B22">
        <v>0.19341937110826499</v>
      </c>
      <c r="C22">
        <v>0.5</v>
      </c>
      <c r="D22">
        <v>0.244313886326116</v>
      </c>
      <c r="E22">
        <v>0.22303997896505401</v>
      </c>
      <c r="F22">
        <v>0.34341937110826498</v>
      </c>
      <c r="G22">
        <f>IFERROR(VLOOKUP($A22,Sheet1!$A$1:$D$29,2,0),"")</f>
        <v>0</v>
      </c>
      <c r="H22">
        <f>IFERROR(VLOOKUP($A22,Sheet1!$A$1:$D$29,3,0),"")</f>
        <v>0</v>
      </c>
      <c r="I22">
        <f>IFERROR(VLOOKUP($A22,Sheet1!$A$1:$D$29,4,0),"")</f>
        <v>0</v>
      </c>
    </row>
    <row r="23" spans="1:9" x14ac:dyDescent="0.3">
      <c r="A23" t="s">
        <v>27</v>
      </c>
      <c r="B23">
        <v>8.0184822467365205E-2</v>
      </c>
      <c r="C23">
        <v>0.5</v>
      </c>
      <c r="D23">
        <v>0.13107933768521601</v>
      </c>
      <c r="E23">
        <v>0.109805430324154</v>
      </c>
      <c r="F23">
        <v>0.23018482246736499</v>
      </c>
      <c r="G23" t="str">
        <f>IFERROR(VLOOKUP($A23,Sheet1!$A$1:$D$29,2,0),"")</f>
        <v/>
      </c>
      <c r="H23" t="str">
        <f>IFERROR(VLOOKUP($A23,Sheet1!$A$1:$D$29,3,0),"")</f>
        <v/>
      </c>
      <c r="I23" t="str">
        <f>IFERROR(VLOOKUP($A23,Sheet1!$A$1:$D$29,4,0),"")</f>
        <v/>
      </c>
    </row>
    <row r="24" spans="1:9" x14ac:dyDescent="0.3">
      <c r="A24" t="s">
        <v>28</v>
      </c>
      <c r="B24">
        <v>0.22199984736260001</v>
      </c>
      <c r="C24">
        <v>0.5</v>
      </c>
      <c r="D24">
        <v>0.27289436258045102</v>
      </c>
      <c r="E24">
        <v>0.25162045521938903</v>
      </c>
      <c r="F24">
        <v>0.3719998473626</v>
      </c>
      <c r="G24">
        <f>IFERROR(VLOOKUP($A24,Sheet1!$A$1:$D$29,2,0),"")</f>
        <v>0.62757242757242804</v>
      </c>
      <c r="H24">
        <f>IFERROR(VLOOKUP($A24,Sheet1!$A$1:$D$29,3,0),"")</f>
        <v>0</v>
      </c>
      <c r="I24">
        <f>IFERROR(VLOOKUP($A24,Sheet1!$A$1:$D$29,4,0),"")</f>
        <v>0.22199984736260001</v>
      </c>
    </row>
    <row r="25" spans="1:9" x14ac:dyDescent="0.3">
      <c r="A25" t="s">
        <v>29</v>
      </c>
      <c r="B25">
        <v>0.14521831389329701</v>
      </c>
      <c r="C25">
        <v>0.5</v>
      </c>
      <c r="D25">
        <v>0.196112829111148</v>
      </c>
      <c r="E25">
        <v>0.174838921750086</v>
      </c>
      <c r="F25">
        <v>0.295218313893297</v>
      </c>
      <c r="G25" t="str">
        <f>IFERROR(VLOOKUP($A25,Sheet1!$A$1:$D$29,2,0),"")</f>
        <v/>
      </c>
      <c r="H25" t="str">
        <f>IFERROR(VLOOKUP($A25,Sheet1!$A$1:$D$29,3,0),"")</f>
        <v/>
      </c>
      <c r="I25" t="str">
        <f>IFERROR(VLOOKUP($A25,Sheet1!$A$1:$D$29,4,0),"")</f>
        <v/>
      </c>
    </row>
    <row r="26" spans="1:9" x14ac:dyDescent="0.3">
      <c r="A26" t="s">
        <v>30</v>
      </c>
      <c r="B26">
        <v>0.16491048699709601</v>
      </c>
      <c r="C26">
        <v>0.5</v>
      </c>
      <c r="D26">
        <v>0.215805002214947</v>
      </c>
      <c r="E26">
        <v>0.19453109485388501</v>
      </c>
      <c r="F26">
        <v>0.31491048699709601</v>
      </c>
      <c r="G26" t="str">
        <f>IFERROR(VLOOKUP($A26,Sheet1!$A$1:$D$29,2,0),"")</f>
        <v/>
      </c>
      <c r="H26" t="str">
        <f>IFERROR(VLOOKUP($A26,Sheet1!$A$1:$D$29,3,0),"")</f>
        <v/>
      </c>
      <c r="I26" t="str">
        <f>IFERROR(VLOOKUP($A26,Sheet1!$A$1:$D$29,4,0),"")</f>
        <v/>
      </c>
    </row>
    <row r="27" spans="1:9" x14ac:dyDescent="0.3">
      <c r="A27" t="s">
        <v>31</v>
      </c>
      <c r="B27">
        <v>0.30402568432119398</v>
      </c>
      <c r="C27">
        <v>0.5</v>
      </c>
      <c r="D27">
        <v>0.35492019953904502</v>
      </c>
      <c r="E27">
        <v>0.33364629217798297</v>
      </c>
      <c r="F27">
        <v>0.454025684321194</v>
      </c>
      <c r="G27" t="str">
        <f>IFERROR(VLOOKUP($A27,Sheet1!$A$1:$D$29,2,0),"")</f>
        <v/>
      </c>
      <c r="H27" t="str">
        <f>IFERROR(VLOOKUP($A27,Sheet1!$A$1:$D$29,3,0),"")</f>
        <v/>
      </c>
      <c r="I27" t="str">
        <f>IFERROR(VLOOKUP($A27,Sheet1!$A$1:$D$29,4,0),"")</f>
        <v/>
      </c>
    </row>
    <row r="28" spans="1:9" x14ac:dyDescent="0.3">
      <c r="A28" t="s">
        <v>32</v>
      </c>
      <c r="B28">
        <v>0.26983279517023401</v>
      </c>
      <c r="C28">
        <v>0.5</v>
      </c>
      <c r="D28">
        <v>0.320727310388085</v>
      </c>
      <c r="E28">
        <v>0.299453403027023</v>
      </c>
      <c r="F28">
        <v>0.41983279517023397</v>
      </c>
      <c r="G28" t="str">
        <f>IFERROR(VLOOKUP($A28,Sheet1!$A$1:$D$29,2,0),"")</f>
        <v/>
      </c>
      <c r="H28" t="str">
        <f>IFERROR(VLOOKUP($A28,Sheet1!$A$1:$D$29,3,0),"")</f>
        <v/>
      </c>
      <c r="I28" t="str">
        <f>IFERROR(VLOOKUP($A28,Sheet1!$A$1:$D$29,4,0),"")</f>
        <v/>
      </c>
    </row>
    <row r="29" spans="1:9" x14ac:dyDescent="0.3">
      <c r="A29" t="s">
        <v>33</v>
      </c>
      <c r="B29">
        <v>0.20472154815845101</v>
      </c>
      <c r="C29">
        <v>0.5</v>
      </c>
      <c r="D29">
        <v>0.25561606337630199</v>
      </c>
      <c r="E29">
        <v>0.23434215601524</v>
      </c>
      <c r="F29">
        <v>0.35472154815845103</v>
      </c>
      <c r="G29" t="str">
        <f>IFERROR(VLOOKUP($A29,Sheet1!$A$1:$D$29,2,0),"")</f>
        <v/>
      </c>
      <c r="H29" t="str">
        <f>IFERROR(VLOOKUP($A29,Sheet1!$A$1:$D$29,3,0),"")</f>
        <v/>
      </c>
      <c r="I29" t="str">
        <f>IFERROR(VLOOKUP($A29,Sheet1!$A$1:$D$29,4,0),"")</f>
        <v/>
      </c>
    </row>
    <row r="30" spans="1:9" x14ac:dyDescent="0.3">
      <c r="A30" t="s">
        <v>34</v>
      </c>
      <c r="B30">
        <v>7.97481640345961E-2</v>
      </c>
      <c r="C30">
        <v>0.5</v>
      </c>
      <c r="D30">
        <v>0.13064267925244699</v>
      </c>
      <c r="E30">
        <v>0.109368771891385</v>
      </c>
      <c r="F30">
        <v>0.229748164034596</v>
      </c>
      <c r="G30" t="str">
        <f>IFERROR(VLOOKUP($A30,Sheet1!$A$1:$D$29,2,0),"")</f>
        <v/>
      </c>
      <c r="H30" t="str">
        <f>IFERROR(VLOOKUP($A30,Sheet1!$A$1:$D$29,3,0),"")</f>
        <v/>
      </c>
      <c r="I30" t="str">
        <f>IFERROR(VLOOKUP($A30,Sheet1!$A$1:$D$29,4,0),"")</f>
        <v/>
      </c>
    </row>
    <row r="31" spans="1:9" x14ac:dyDescent="0.3">
      <c r="A31" t="s">
        <v>35</v>
      </c>
      <c r="B31">
        <v>0.10864329346306199</v>
      </c>
      <c r="C31">
        <v>0.5</v>
      </c>
      <c r="D31">
        <v>0.159537808680913</v>
      </c>
      <c r="E31">
        <v>0.138263901319851</v>
      </c>
      <c r="F31">
        <v>0.25864329346306197</v>
      </c>
      <c r="G31" t="str">
        <f>IFERROR(VLOOKUP($A31,Sheet1!$A$1:$D$29,2,0),"")</f>
        <v/>
      </c>
      <c r="H31" t="str">
        <f>IFERROR(VLOOKUP($A31,Sheet1!$A$1:$D$29,3,0),"")</f>
        <v/>
      </c>
      <c r="I31" t="str">
        <f>IFERROR(VLOOKUP($A31,Sheet1!$A$1:$D$29,4,0),"")</f>
        <v/>
      </c>
    </row>
    <row r="32" spans="1:9" x14ac:dyDescent="0.3">
      <c r="A32" t="s">
        <v>36</v>
      </c>
      <c r="B32">
        <v>0.118346872051958</v>
      </c>
      <c r="C32">
        <v>0.5</v>
      </c>
      <c r="D32">
        <v>0.169241387269809</v>
      </c>
      <c r="E32">
        <v>0.14796747990874701</v>
      </c>
      <c r="F32">
        <v>0.26834687205195801</v>
      </c>
      <c r="G32" t="str">
        <f>IFERROR(VLOOKUP($A32,Sheet1!$A$1:$D$29,2,0),"")</f>
        <v/>
      </c>
      <c r="H32" t="str">
        <f>IFERROR(VLOOKUP($A32,Sheet1!$A$1:$D$29,3,0),"")</f>
        <v/>
      </c>
      <c r="I32" t="str">
        <f>IFERROR(VLOOKUP($A32,Sheet1!$A$1:$D$29,4,0),"")</f>
        <v/>
      </c>
    </row>
    <row r="33" spans="1:9" x14ac:dyDescent="0.3">
      <c r="A33" t="s">
        <v>37</v>
      </c>
      <c r="B33">
        <v>0.19714929688595301</v>
      </c>
      <c r="C33">
        <v>0.5</v>
      </c>
      <c r="D33">
        <v>0.248043812103804</v>
      </c>
      <c r="E33">
        <v>0.226769904742742</v>
      </c>
      <c r="F33">
        <v>0.34714929688595297</v>
      </c>
      <c r="G33" t="str">
        <f>IFERROR(VLOOKUP($A33,Sheet1!$A$1:$D$29,2,0),"")</f>
        <v/>
      </c>
      <c r="H33" t="str">
        <f>IFERROR(VLOOKUP($A33,Sheet1!$A$1:$D$29,3,0),"")</f>
        <v/>
      </c>
      <c r="I33" t="str">
        <f>IFERROR(VLOOKUP($A33,Sheet1!$A$1:$D$29,4,0),"")</f>
        <v/>
      </c>
    </row>
    <row r="34" spans="1:9" x14ac:dyDescent="0.3">
      <c r="A34" t="s">
        <v>38</v>
      </c>
      <c r="B34">
        <v>6.25606037873188E-2</v>
      </c>
      <c r="C34">
        <v>0.5</v>
      </c>
      <c r="D34">
        <v>0.11345511900517</v>
      </c>
      <c r="E34">
        <v>9.2181211644108099E-2</v>
      </c>
      <c r="F34">
        <v>0.212560603787319</v>
      </c>
      <c r="G34" t="str">
        <f>IFERROR(VLOOKUP($A34,Sheet1!$A$1:$D$29,2,0),"")</f>
        <v/>
      </c>
      <c r="H34" t="str">
        <f>IFERROR(VLOOKUP($A34,Sheet1!$A$1:$D$29,3,0),"")</f>
        <v/>
      </c>
      <c r="I34" t="str">
        <f>IFERROR(VLOOKUP($A34,Sheet1!$A$1:$D$29,4,0),"")</f>
        <v/>
      </c>
    </row>
    <row r="35" spans="1:9" x14ac:dyDescent="0.3">
      <c r="A35" t="s">
        <v>39</v>
      </c>
      <c r="B35">
        <v>0.63114671125062705</v>
      </c>
      <c r="C35">
        <v>0.63114671125062705</v>
      </c>
      <c r="D35">
        <v>0.68204122646847798</v>
      </c>
      <c r="E35">
        <v>0.66076731910741604</v>
      </c>
      <c r="F35">
        <v>0.78114671125062696</v>
      </c>
      <c r="G35" t="str">
        <f>IFERROR(VLOOKUP($A35,Sheet1!$A$1:$D$29,2,0),"")</f>
        <v/>
      </c>
      <c r="H35" t="str">
        <f>IFERROR(VLOOKUP($A35,Sheet1!$A$1:$D$29,3,0),"")</f>
        <v/>
      </c>
      <c r="I35" t="str">
        <f>IFERROR(VLOOKUP($A35,Sheet1!$A$1:$D$29,4,0),"")</f>
        <v/>
      </c>
    </row>
    <row r="36" spans="1:9" x14ac:dyDescent="0.3">
      <c r="A36" t="s">
        <v>40</v>
      </c>
      <c r="B36">
        <v>5.4190972518182903E-2</v>
      </c>
      <c r="C36">
        <v>0.5</v>
      </c>
      <c r="D36">
        <v>0.105085487736034</v>
      </c>
      <c r="E36">
        <v>8.3811580374972203E-2</v>
      </c>
      <c r="F36">
        <v>0.20419097251818299</v>
      </c>
      <c r="G36" t="str">
        <f>IFERROR(VLOOKUP($A36,Sheet1!$A$1:$D$29,2,0),"")</f>
        <v/>
      </c>
      <c r="H36" t="str">
        <f>IFERROR(VLOOKUP($A36,Sheet1!$A$1:$D$29,3,0),"")</f>
        <v/>
      </c>
      <c r="I36" t="str">
        <f>IFERROR(VLOOKUP($A36,Sheet1!$A$1:$D$29,4,0),"")</f>
        <v/>
      </c>
    </row>
    <row r="37" spans="1:9" x14ac:dyDescent="0.3">
      <c r="A37" t="s">
        <v>41</v>
      </c>
      <c r="B37">
        <v>0.105467234955922</v>
      </c>
      <c r="C37">
        <v>0.5</v>
      </c>
      <c r="D37">
        <v>0.15636175017377299</v>
      </c>
      <c r="E37">
        <v>0.135087842812711</v>
      </c>
      <c r="F37">
        <v>0.255467234955922</v>
      </c>
      <c r="G37" t="str">
        <f>IFERROR(VLOOKUP($A37,Sheet1!$A$1:$D$29,2,0),"")</f>
        <v/>
      </c>
      <c r="H37" t="str">
        <f>IFERROR(VLOOKUP($A37,Sheet1!$A$1:$D$29,3,0),"")</f>
        <v/>
      </c>
      <c r="I37" t="str">
        <f>IFERROR(VLOOKUP($A37,Sheet1!$A$1:$D$29,4,0),"")</f>
        <v/>
      </c>
    </row>
    <row r="38" spans="1:9" x14ac:dyDescent="0.3">
      <c r="A38" t="s">
        <v>42</v>
      </c>
      <c r="B38">
        <v>0.28943373769116998</v>
      </c>
      <c r="C38">
        <v>0.5</v>
      </c>
      <c r="D38">
        <v>0.34032825290902102</v>
      </c>
      <c r="E38">
        <v>0.31905434554795897</v>
      </c>
      <c r="F38">
        <v>0.43943373769117</v>
      </c>
      <c r="G38">
        <f>IFERROR(VLOOKUP($A38,Sheet1!$A$1:$D$29,2,0),"")</f>
        <v>0.41239657685972297</v>
      </c>
      <c r="H38">
        <f>IFERROR(VLOOKUP($A38,Sheet1!$A$1:$D$29,3,0),"")</f>
        <v>0</v>
      </c>
      <c r="I38">
        <f>IFERROR(VLOOKUP($A38,Sheet1!$A$1:$D$29,4,0),"")</f>
        <v>0.28943373769116998</v>
      </c>
    </row>
    <row r="39" spans="1:9" x14ac:dyDescent="0.3">
      <c r="A39" t="s">
        <v>43</v>
      </c>
      <c r="B39">
        <v>0.146201183873894</v>
      </c>
      <c r="C39">
        <v>0.5</v>
      </c>
      <c r="D39">
        <v>0.19709569909174501</v>
      </c>
      <c r="E39">
        <v>0.17582179173068299</v>
      </c>
      <c r="F39">
        <v>0.29620118387389399</v>
      </c>
      <c r="G39">
        <f>IFERROR(VLOOKUP($A39,Sheet1!$A$1:$D$29,2,0),"")</f>
        <v>2.8518749523416601E-2</v>
      </c>
      <c r="H39">
        <f>IFERROR(VLOOKUP($A39,Sheet1!$A$1:$D$29,3,0),"")</f>
        <v>0</v>
      </c>
      <c r="I39">
        <f>IFERROR(VLOOKUP($A39,Sheet1!$A$1:$D$29,4,0),"")</f>
        <v>2.8518749523416601E-2</v>
      </c>
    </row>
    <row r="40" spans="1:9" x14ac:dyDescent="0.3">
      <c r="A40" t="s">
        <v>44</v>
      </c>
      <c r="B40">
        <v>0.27256395641125902</v>
      </c>
      <c r="C40">
        <v>0.5</v>
      </c>
      <c r="D40">
        <v>0.32345847162911001</v>
      </c>
      <c r="E40">
        <v>0.30218456426804802</v>
      </c>
      <c r="F40">
        <v>0.42256395641125899</v>
      </c>
      <c r="G40">
        <f>IFERROR(VLOOKUP($A40,Sheet1!$A$1:$D$29,2,0),"")</f>
        <v>0</v>
      </c>
      <c r="H40">
        <f>IFERROR(VLOOKUP($A40,Sheet1!$A$1:$D$29,3,0),"")</f>
        <v>0</v>
      </c>
      <c r="I40">
        <f>IFERROR(VLOOKUP($A40,Sheet1!$A$1:$D$29,4,0),"")</f>
        <v>0</v>
      </c>
    </row>
    <row r="41" spans="1:9" x14ac:dyDescent="0.3">
      <c r="A41" t="s">
        <v>45</v>
      </c>
      <c r="B41">
        <v>0.106012014835397</v>
      </c>
      <c r="C41">
        <v>0.5</v>
      </c>
      <c r="D41">
        <v>0.15690653005324801</v>
      </c>
      <c r="E41">
        <v>0.13563262269218601</v>
      </c>
      <c r="F41">
        <v>0.25601201483539698</v>
      </c>
      <c r="G41" t="str">
        <f>IFERROR(VLOOKUP($A41,Sheet1!$A$1:$D$29,2,0),"")</f>
        <v/>
      </c>
      <c r="H41" t="str">
        <f>IFERROR(VLOOKUP($A41,Sheet1!$A$1:$D$29,3,0),"")</f>
        <v/>
      </c>
      <c r="I41" t="str">
        <f>IFERROR(VLOOKUP($A41,Sheet1!$A$1:$D$29,4,0),"")</f>
        <v/>
      </c>
    </row>
    <row r="42" spans="1:9" x14ac:dyDescent="0.3">
      <c r="A42" t="s">
        <v>46</v>
      </c>
      <c r="B42">
        <v>8.6530623140179702E-2</v>
      </c>
      <c r="C42">
        <v>0.5</v>
      </c>
      <c r="D42">
        <v>0.137425138358031</v>
      </c>
      <c r="E42">
        <v>0.116151230996969</v>
      </c>
      <c r="F42">
        <v>0.23653062314018</v>
      </c>
      <c r="G42" t="str">
        <f>IFERROR(VLOOKUP($A42,Sheet1!$A$1:$D$29,2,0),"")</f>
        <v/>
      </c>
      <c r="H42" t="str">
        <f>IFERROR(VLOOKUP($A42,Sheet1!$A$1:$D$29,3,0),"")</f>
        <v/>
      </c>
      <c r="I42" t="str">
        <f>IFERROR(VLOOKUP($A42,Sheet1!$A$1:$D$29,4,0),"")</f>
        <v/>
      </c>
    </row>
    <row r="43" spans="1:9" x14ac:dyDescent="0.3">
      <c r="A43" t="s">
        <v>47</v>
      </c>
      <c r="B43">
        <v>0.47046500654788898</v>
      </c>
      <c r="C43">
        <v>0.5</v>
      </c>
      <c r="D43">
        <v>0.52135952176573996</v>
      </c>
      <c r="E43">
        <v>0.50008561440467802</v>
      </c>
      <c r="F43">
        <v>0.62046500654788905</v>
      </c>
      <c r="G43" t="str">
        <f>IFERROR(VLOOKUP($A43,Sheet1!$A$1:$D$29,2,0),"")</f>
        <v/>
      </c>
      <c r="H43" t="str">
        <f>IFERROR(VLOOKUP($A43,Sheet1!$A$1:$D$29,3,0),"")</f>
        <v/>
      </c>
      <c r="I43" t="str">
        <f>IFERROR(VLOOKUP($A43,Sheet1!$A$1:$D$29,4,0),"")</f>
        <v/>
      </c>
    </row>
    <row r="44" spans="1:9" x14ac:dyDescent="0.3">
      <c r="A44" t="s">
        <v>48</v>
      </c>
      <c r="B44">
        <v>0.167597093670526</v>
      </c>
      <c r="C44">
        <v>0.5</v>
      </c>
      <c r="D44">
        <v>0.21849160888837699</v>
      </c>
      <c r="E44">
        <v>0.19721770152731499</v>
      </c>
      <c r="F44">
        <v>0.31759709367052602</v>
      </c>
      <c r="G44" t="str">
        <f>IFERROR(VLOOKUP($A44,Sheet1!$A$1:$D$29,2,0),"")</f>
        <v/>
      </c>
      <c r="H44" t="str">
        <f>IFERROR(VLOOKUP($A44,Sheet1!$A$1:$D$29,3,0),"")</f>
        <v/>
      </c>
      <c r="I44" t="str">
        <f>IFERROR(VLOOKUP($A44,Sheet1!$A$1:$D$29,4,0),"")</f>
        <v/>
      </c>
    </row>
    <row r="45" spans="1:9" x14ac:dyDescent="0.3">
      <c r="A45" t="s">
        <v>49</v>
      </c>
      <c r="B45">
        <v>0.29832687811387298</v>
      </c>
      <c r="C45">
        <v>0.5</v>
      </c>
      <c r="D45">
        <v>0.34922139333172397</v>
      </c>
      <c r="E45">
        <v>0.32794748597066198</v>
      </c>
      <c r="F45">
        <v>0.44832687811387301</v>
      </c>
      <c r="G45">
        <f>IFERROR(VLOOKUP($A45,Sheet1!$A$1:$D$29,2,0),"")</f>
        <v>0.29116375353322999</v>
      </c>
      <c r="H45">
        <f>IFERROR(VLOOKUP($A45,Sheet1!$A$1:$D$29,3,0),"")</f>
        <v>0</v>
      </c>
      <c r="I45">
        <f>IFERROR(VLOOKUP($A45,Sheet1!$A$1:$D$29,4,0),"")</f>
        <v>0.29116375353322999</v>
      </c>
    </row>
    <row r="46" spans="1:9" x14ac:dyDescent="0.3">
      <c r="A46" t="s">
        <v>50</v>
      </c>
      <c r="B46">
        <v>0.31147954715526799</v>
      </c>
      <c r="C46">
        <v>0.5</v>
      </c>
      <c r="D46">
        <v>0.36237406237311898</v>
      </c>
      <c r="E46">
        <v>0.34110015501205698</v>
      </c>
      <c r="F46">
        <v>0.46147954715526801</v>
      </c>
      <c r="G46" t="str">
        <f>IFERROR(VLOOKUP($A46,Sheet1!$A$1:$D$29,2,0),"")</f>
        <v/>
      </c>
      <c r="H46" t="str">
        <f>IFERROR(VLOOKUP($A46,Sheet1!$A$1:$D$29,3,0),"")</f>
        <v/>
      </c>
      <c r="I46" t="str">
        <f>IFERROR(VLOOKUP($A46,Sheet1!$A$1:$D$29,4,0),"")</f>
        <v/>
      </c>
    </row>
    <row r="47" spans="1:9" x14ac:dyDescent="0.3">
      <c r="A47" t="s">
        <v>51</v>
      </c>
      <c r="B47">
        <v>0.326394155375894</v>
      </c>
      <c r="C47">
        <v>0.5</v>
      </c>
      <c r="D47">
        <v>0.37728867059374499</v>
      </c>
      <c r="E47">
        <v>0.356014763232683</v>
      </c>
      <c r="F47">
        <v>0.47639415537589402</v>
      </c>
      <c r="G47" t="str">
        <f>IFERROR(VLOOKUP($A47,Sheet1!$A$1:$D$29,2,0),"")</f>
        <v/>
      </c>
      <c r="H47" t="str">
        <f>IFERROR(VLOOKUP($A47,Sheet1!$A$1:$D$29,3,0),"")</f>
        <v/>
      </c>
      <c r="I47" t="str">
        <f>IFERROR(VLOOKUP($A47,Sheet1!$A$1:$D$29,4,0),"")</f>
        <v/>
      </c>
    </row>
    <row r="48" spans="1:9" x14ac:dyDescent="0.3">
      <c r="A48" t="s">
        <v>52</v>
      </c>
      <c r="B48">
        <v>0.21449465687949601</v>
      </c>
      <c r="C48">
        <v>0.5</v>
      </c>
      <c r="D48">
        <v>0.26538917209734703</v>
      </c>
      <c r="E48">
        <v>0.244115264736285</v>
      </c>
      <c r="F48">
        <v>0.364494656879496</v>
      </c>
      <c r="G48" t="str">
        <f>IFERROR(VLOOKUP($A48,Sheet1!$A$1:$D$29,2,0),"")</f>
        <v/>
      </c>
      <c r="H48" t="str">
        <f>IFERROR(VLOOKUP($A48,Sheet1!$A$1:$D$29,3,0),"")</f>
        <v/>
      </c>
      <c r="I48" t="str">
        <f>IFERROR(VLOOKUP($A48,Sheet1!$A$1:$D$29,4,0),"")</f>
        <v/>
      </c>
    </row>
    <row r="49" spans="1:9" x14ac:dyDescent="0.3">
      <c r="A49" t="s">
        <v>53</v>
      </c>
      <c r="B49">
        <v>0.112062914095178</v>
      </c>
      <c r="C49">
        <v>0.5</v>
      </c>
      <c r="D49">
        <v>0.16295742931302901</v>
      </c>
      <c r="E49">
        <v>0.14168352195196701</v>
      </c>
      <c r="F49">
        <v>0.26206291409517801</v>
      </c>
      <c r="G49" t="str">
        <f>IFERROR(VLOOKUP($A49,Sheet1!$A$1:$D$29,2,0),"")</f>
        <v/>
      </c>
      <c r="H49" t="str">
        <f>IFERROR(VLOOKUP($A49,Sheet1!$A$1:$D$29,3,0),"")</f>
        <v/>
      </c>
      <c r="I49" t="str">
        <f>IFERROR(VLOOKUP($A49,Sheet1!$A$1:$D$29,4,0),"")</f>
        <v/>
      </c>
    </row>
    <row r="50" spans="1:9" x14ac:dyDescent="0.3">
      <c r="A50" t="s">
        <v>54</v>
      </c>
      <c r="B50">
        <v>8.9792523795132403E-2</v>
      </c>
      <c r="C50">
        <v>0.5</v>
      </c>
      <c r="D50">
        <v>0.14068703901298299</v>
      </c>
      <c r="E50">
        <v>0.11941313165192199</v>
      </c>
      <c r="F50">
        <v>0.239792523795132</v>
      </c>
      <c r="G50" t="str">
        <f>IFERROR(VLOOKUP($A50,Sheet1!$A$1:$D$29,2,0),"")</f>
        <v/>
      </c>
      <c r="H50" t="str">
        <f>IFERROR(VLOOKUP($A50,Sheet1!$A$1:$D$29,3,0),"")</f>
        <v/>
      </c>
      <c r="I50" t="str">
        <f>IFERROR(VLOOKUP($A50,Sheet1!$A$1:$D$29,4,0),"")</f>
        <v/>
      </c>
    </row>
    <row r="51" spans="1:9" x14ac:dyDescent="0.3">
      <c r="A51" t="s">
        <v>55</v>
      </c>
      <c r="B51">
        <v>0.10370913379503501</v>
      </c>
      <c r="C51">
        <v>0.5</v>
      </c>
      <c r="D51">
        <v>0.15460364901288601</v>
      </c>
      <c r="E51">
        <v>0.13332974165182401</v>
      </c>
      <c r="F51">
        <v>0.25370913379503501</v>
      </c>
      <c r="G51" t="str">
        <f>IFERROR(VLOOKUP($A51,Sheet1!$A$1:$D$29,2,0),"")</f>
        <v/>
      </c>
      <c r="H51" t="str">
        <f>IFERROR(VLOOKUP($A51,Sheet1!$A$1:$D$29,3,0),"")</f>
        <v/>
      </c>
      <c r="I51" t="str">
        <f>IFERROR(VLOOKUP($A51,Sheet1!$A$1:$D$29,4,0),"")</f>
        <v/>
      </c>
    </row>
    <row r="52" spans="1:9" x14ac:dyDescent="0.3">
      <c r="A52" t="s">
        <v>56</v>
      </c>
      <c r="B52">
        <v>0.15653835289993601</v>
      </c>
      <c r="C52">
        <v>0.5</v>
      </c>
      <c r="D52">
        <v>0.20743286811778699</v>
      </c>
      <c r="E52">
        <v>0.186158960756725</v>
      </c>
      <c r="F52">
        <v>0.30653835289993597</v>
      </c>
      <c r="G52" t="str">
        <f>IFERROR(VLOOKUP($A52,Sheet1!$A$1:$D$29,2,0),"")</f>
        <v/>
      </c>
      <c r="H52" t="str">
        <f>IFERROR(VLOOKUP($A52,Sheet1!$A$1:$D$29,3,0),"")</f>
        <v/>
      </c>
      <c r="I52" t="str">
        <f>IFERROR(VLOOKUP($A52,Sheet1!$A$1:$D$29,4,0),"")</f>
        <v/>
      </c>
    </row>
    <row r="53" spans="1:9" x14ac:dyDescent="0.3">
      <c r="A53" t="s">
        <v>57</v>
      </c>
      <c r="B53">
        <v>0.194948367639588</v>
      </c>
      <c r="C53">
        <v>0.5</v>
      </c>
      <c r="D53">
        <v>0.24584288285743899</v>
      </c>
      <c r="E53">
        <v>0.224568975496377</v>
      </c>
      <c r="F53">
        <v>0.34494836763958803</v>
      </c>
      <c r="G53">
        <f>IFERROR(VLOOKUP($A53,Sheet1!$A$1:$D$29,2,0),"")</f>
        <v>0.395765132127331</v>
      </c>
      <c r="H53">
        <f>IFERROR(VLOOKUP($A53,Sheet1!$A$1:$D$29,3,0),"")</f>
        <v>0</v>
      </c>
      <c r="I53">
        <f>IFERROR(VLOOKUP($A53,Sheet1!$A$1:$D$29,4,0),"")</f>
        <v>0.194948367639588</v>
      </c>
    </row>
    <row r="54" spans="1:9" x14ac:dyDescent="0.3">
      <c r="A54" t="s">
        <v>58</v>
      </c>
      <c r="B54">
        <v>0.22562758474760999</v>
      </c>
      <c r="C54">
        <v>0.5</v>
      </c>
      <c r="D54">
        <v>0.27652209996546101</v>
      </c>
      <c r="E54">
        <v>0.25524819260439902</v>
      </c>
      <c r="F54">
        <v>0.37562758474760999</v>
      </c>
      <c r="G54">
        <f>IFERROR(VLOOKUP($A54,Sheet1!$A$1:$D$29,2,0),"")</f>
        <v>0.81897142626740504</v>
      </c>
      <c r="H54">
        <f>IFERROR(VLOOKUP($A54,Sheet1!$A$1:$D$29,3,0),"")</f>
        <v>0</v>
      </c>
      <c r="I54">
        <f>IFERROR(VLOOKUP($A54,Sheet1!$A$1:$D$29,4,0),"")</f>
        <v>0.22562758474760999</v>
      </c>
    </row>
    <row r="55" spans="1:9" x14ac:dyDescent="0.3">
      <c r="A55" t="s">
        <v>59</v>
      </c>
      <c r="B55">
        <v>0.169076050404522</v>
      </c>
      <c r="C55">
        <v>0.5</v>
      </c>
      <c r="D55">
        <v>0.21997056562237299</v>
      </c>
      <c r="E55">
        <v>0.198696658261311</v>
      </c>
      <c r="F55">
        <v>0.31907605040452203</v>
      </c>
      <c r="G55" t="str">
        <f>IFERROR(VLOOKUP($A55,Sheet1!$A$1:$D$29,2,0),"")</f>
        <v/>
      </c>
      <c r="H55" t="str">
        <f>IFERROR(VLOOKUP($A55,Sheet1!$A$1:$D$29,3,0),"")</f>
        <v/>
      </c>
      <c r="I55" t="str">
        <f>IFERROR(VLOOKUP($A55,Sheet1!$A$1:$D$29,4,0),"")</f>
        <v/>
      </c>
    </row>
    <row r="56" spans="1:9" x14ac:dyDescent="0.3">
      <c r="A56" t="s">
        <v>60</v>
      </c>
      <c r="B56">
        <v>0.31877541863648001</v>
      </c>
      <c r="C56">
        <v>0.5</v>
      </c>
      <c r="D56">
        <v>0.369669933854331</v>
      </c>
      <c r="E56">
        <v>0.34839602649326901</v>
      </c>
      <c r="F56">
        <v>0.46877541863647998</v>
      </c>
      <c r="G56">
        <f>IFERROR(VLOOKUP($A56,Sheet1!$A$1:$D$29,2,0),"")</f>
        <v>0.71808457497601097</v>
      </c>
      <c r="H56">
        <f>IFERROR(VLOOKUP($A56,Sheet1!$A$1:$D$29,3,0),"")</f>
        <v>0</v>
      </c>
      <c r="I56">
        <f>IFERROR(VLOOKUP($A56,Sheet1!$A$1:$D$29,4,0),"")</f>
        <v>0.31877541863648001</v>
      </c>
    </row>
    <row r="57" spans="1:9" x14ac:dyDescent="0.3">
      <c r="A57" t="s">
        <v>61</v>
      </c>
      <c r="B57">
        <v>0.105983750491355</v>
      </c>
      <c r="C57">
        <v>0.5</v>
      </c>
      <c r="D57">
        <v>0.15687826570920599</v>
      </c>
      <c r="E57">
        <v>0.13560435834814399</v>
      </c>
      <c r="F57">
        <v>0.25598375049135502</v>
      </c>
      <c r="G57" t="str">
        <f>IFERROR(VLOOKUP($A57,Sheet1!$A$1:$D$29,2,0),"")</f>
        <v/>
      </c>
      <c r="H57" t="str">
        <f>IFERROR(VLOOKUP($A57,Sheet1!$A$1:$D$29,3,0),"")</f>
        <v/>
      </c>
      <c r="I57" t="str">
        <f>IFERROR(VLOOKUP($A57,Sheet1!$A$1:$D$29,4,0),"")</f>
        <v/>
      </c>
    </row>
    <row r="58" spans="1:9" x14ac:dyDescent="0.3">
      <c r="A58" t="s">
        <v>62</v>
      </c>
      <c r="B58">
        <v>0.12252797535481</v>
      </c>
      <c r="C58">
        <v>0.5</v>
      </c>
      <c r="D58">
        <v>0.17342249057266099</v>
      </c>
      <c r="E58">
        <v>0.15214858321159899</v>
      </c>
      <c r="F58">
        <v>0.27252797535480999</v>
      </c>
      <c r="G58" t="str">
        <f>IFERROR(VLOOKUP($A58,Sheet1!$A$1:$D$29,2,0),"")</f>
        <v/>
      </c>
      <c r="H58" t="str">
        <f>IFERROR(VLOOKUP($A58,Sheet1!$A$1:$D$29,3,0),"")</f>
        <v/>
      </c>
      <c r="I58" t="str">
        <f>IFERROR(VLOOKUP($A58,Sheet1!$A$1:$D$29,4,0),"")</f>
        <v/>
      </c>
    </row>
    <row r="59" spans="1:9" x14ac:dyDescent="0.3">
      <c r="A59" t="s">
        <v>63</v>
      </c>
      <c r="B59">
        <v>0.139883345253072</v>
      </c>
      <c r="C59">
        <v>0.5</v>
      </c>
      <c r="D59">
        <v>0.19077786047092299</v>
      </c>
      <c r="E59">
        <v>0.16950395310986099</v>
      </c>
      <c r="F59">
        <v>0.28988334525307202</v>
      </c>
      <c r="G59" t="str">
        <f>IFERROR(VLOOKUP($A59,Sheet1!$A$1:$D$29,2,0),"")</f>
        <v/>
      </c>
      <c r="H59" t="str">
        <f>IFERROR(VLOOKUP($A59,Sheet1!$A$1:$D$29,3,0),"")</f>
        <v/>
      </c>
      <c r="I59" t="str">
        <f>IFERROR(VLOOKUP($A59,Sheet1!$A$1:$D$29,4,0),"")</f>
        <v/>
      </c>
    </row>
    <row r="60" spans="1:9" x14ac:dyDescent="0.3">
      <c r="A60" t="s">
        <v>64</v>
      </c>
      <c r="B60">
        <v>0.11387967241734701</v>
      </c>
      <c r="C60">
        <v>0.5</v>
      </c>
      <c r="D60">
        <v>0.16477418763519799</v>
      </c>
      <c r="E60">
        <v>0.143500280274136</v>
      </c>
      <c r="F60">
        <v>0.263879672417347</v>
      </c>
      <c r="G60" t="str">
        <f>IFERROR(VLOOKUP($A60,Sheet1!$A$1:$D$29,2,0),"")</f>
        <v/>
      </c>
      <c r="H60" t="str">
        <f>IFERROR(VLOOKUP($A60,Sheet1!$A$1:$D$29,3,0),"")</f>
        <v/>
      </c>
      <c r="I60" t="str">
        <f>IFERROR(VLOOKUP($A60,Sheet1!$A$1:$D$29,4,0),"")</f>
        <v/>
      </c>
    </row>
    <row r="61" spans="1:9" x14ac:dyDescent="0.3">
      <c r="A61" t="s">
        <v>65</v>
      </c>
      <c r="B61">
        <v>6.0184512369212802E-2</v>
      </c>
      <c r="C61">
        <v>0.5</v>
      </c>
      <c r="D61">
        <v>0.11107902758706401</v>
      </c>
      <c r="E61">
        <v>8.9805120226002094E-2</v>
      </c>
      <c r="F61">
        <v>0.21018451236921301</v>
      </c>
      <c r="G61">
        <f>IFERROR(VLOOKUP($A61,Sheet1!$A$1:$D$29,2,0),"")</f>
        <v>0.36001899775270502</v>
      </c>
      <c r="H61">
        <f>IFERROR(VLOOKUP($A61,Sheet1!$A$1:$D$29,3,0),"")</f>
        <v>0</v>
      </c>
      <c r="I61">
        <f>IFERROR(VLOOKUP($A61,Sheet1!$A$1:$D$29,4,0),"")</f>
        <v>6.0184512369212802E-2</v>
      </c>
    </row>
    <row r="62" spans="1:9" x14ac:dyDescent="0.3">
      <c r="A62" t="s">
        <v>66</v>
      </c>
      <c r="B62">
        <v>0.10813582186237899</v>
      </c>
      <c r="C62">
        <v>0.5</v>
      </c>
      <c r="D62">
        <v>0.15903033708023001</v>
      </c>
      <c r="E62">
        <v>0.13775642971916799</v>
      </c>
      <c r="F62">
        <v>0.25813582186237899</v>
      </c>
      <c r="G62" t="str">
        <f>IFERROR(VLOOKUP($A62,Sheet1!$A$1:$D$29,2,0),"")</f>
        <v/>
      </c>
      <c r="H62" t="str">
        <f>IFERROR(VLOOKUP($A62,Sheet1!$A$1:$D$29,3,0),"")</f>
        <v/>
      </c>
      <c r="I62" t="str">
        <f>IFERROR(VLOOKUP($A62,Sheet1!$A$1:$D$29,4,0),"")</f>
        <v/>
      </c>
    </row>
    <row r="63" spans="1:9" x14ac:dyDescent="0.3">
      <c r="A63" t="s">
        <v>67</v>
      </c>
      <c r="B63">
        <v>0.27247364803700203</v>
      </c>
      <c r="C63">
        <v>0.5</v>
      </c>
      <c r="D63">
        <v>0.32336816325485301</v>
      </c>
      <c r="E63">
        <v>0.30209425589379102</v>
      </c>
      <c r="F63">
        <v>0.42247364803700199</v>
      </c>
      <c r="G63" t="str">
        <f>IFERROR(VLOOKUP($A63,Sheet1!$A$1:$D$29,2,0),"")</f>
        <v/>
      </c>
      <c r="H63" t="str">
        <f>IFERROR(VLOOKUP($A63,Sheet1!$A$1:$D$29,3,0),"")</f>
        <v/>
      </c>
      <c r="I63" t="str">
        <f>IFERROR(VLOOKUP($A63,Sheet1!$A$1:$D$29,4,0),"")</f>
        <v/>
      </c>
    </row>
    <row r="64" spans="1:9" x14ac:dyDescent="0.3">
      <c r="A64" t="s">
        <v>68</v>
      </c>
      <c r="B64">
        <v>0.25137266209649201</v>
      </c>
      <c r="C64">
        <v>0.5</v>
      </c>
      <c r="D64">
        <v>0.30226717731434299</v>
      </c>
      <c r="E64">
        <v>0.280993269953281</v>
      </c>
      <c r="F64">
        <v>0.40137266209649203</v>
      </c>
      <c r="G64" t="str">
        <f>IFERROR(VLOOKUP($A64,Sheet1!$A$1:$D$29,2,0),"")</f>
        <v/>
      </c>
      <c r="H64" t="str">
        <f>IFERROR(VLOOKUP($A64,Sheet1!$A$1:$D$29,3,0),"")</f>
        <v/>
      </c>
      <c r="I64" t="str">
        <f>IFERROR(VLOOKUP($A64,Sheet1!$A$1:$D$29,4,0),"")</f>
        <v/>
      </c>
    </row>
    <row r="65" spans="1:9" x14ac:dyDescent="0.3">
      <c r="A65" t="s">
        <v>69</v>
      </c>
      <c r="B65">
        <v>0.119335479474487</v>
      </c>
      <c r="C65">
        <v>0.5</v>
      </c>
      <c r="D65">
        <v>0.17022999469233799</v>
      </c>
      <c r="E65">
        <v>0.14895608733127599</v>
      </c>
      <c r="F65">
        <v>0.26933547947448699</v>
      </c>
      <c r="G65" t="str">
        <f>IFERROR(VLOOKUP($A65,Sheet1!$A$1:$D$29,2,0),"")</f>
        <v/>
      </c>
      <c r="H65" t="str">
        <f>IFERROR(VLOOKUP($A65,Sheet1!$A$1:$D$29,3,0),"")</f>
        <v/>
      </c>
      <c r="I65" t="str">
        <f>IFERROR(VLOOKUP($A65,Sheet1!$A$1:$D$29,4,0),"")</f>
        <v/>
      </c>
    </row>
    <row r="66" spans="1:9" x14ac:dyDescent="0.3">
      <c r="A66" t="s">
        <v>70</v>
      </c>
      <c r="B66">
        <v>8.9419626447319503E-2</v>
      </c>
      <c r="C66">
        <v>0.5</v>
      </c>
      <c r="D66">
        <v>0.140314141665171</v>
      </c>
      <c r="E66">
        <v>0.119040234304109</v>
      </c>
      <c r="F66">
        <v>0.23941962644732001</v>
      </c>
      <c r="G66" t="str">
        <f>IFERROR(VLOOKUP($A66,Sheet1!$A$1:$D$29,2,0),"")</f>
        <v/>
      </c>
      <c r="H66" t="str">
        <f>IFERROR(VLOOKUP($A66,Sheet1!$A$1:$D$29,3,0),"")</f>
        <v/>
      </c>
      <c r="I66" t="str">
        <f>IFERROR(VLOOKUP($A66,Sheet1!$A$1:$D$29,4,0),"")</f>
        <v/>
      </c>
    </row>
    <row r="67" spans="1:9" x14ac:dyDescent="0.3">
      <c r="A67" t="s">
        <v>71</v>
      </c>
      <c r="B67">
        <v>0.15220773721713601</v>
      </c>
      <c r="C67">
        <v>0.5</v>
      </c>
      <c r="D67">
        <v>0.203102252434987</v>
      </c>
      <c r="E67">
        <v>0.18182834507392501</v>
      </c>
      <c r="F67">
        <v>0.30220773721713601</v>
      </c>
      <c r="G67" t="str">
        <f>IFERROR(VLOOKUP($A67,Sheet1!$A$1:$D$29,2,0),"")</f>
        <v/>
      </c>
      <c r="H67" t="str">
        <f>IFERROR(VLOOKUP($A67,Sheet1!$A$1:$D$29,3,0),"")</f>
        <v/>
      </c>
      <c r="I67" t="str">
        <f>IFERROR(VLOOKUP($A67,Sheet1!$A$1:$D$29,4,0),"")</f>
        <v/>
      </c>
    </row>
    <row r="68" spans="1:9" x14ac:dyDescent="0.3">
      <c r="A68" t="s">
        <v>72</v>
      </c>
      <c r="B68">
        <v>0.43868787590019998</v>
      </c>
      <c r="C68">
        <v>0.5</v>
      </c>
      <c r="D68">
        <v>0.48958239111805102</v>
      </c>
      <c r="E68">
        <v>0.46830848375698902</v>
      </c>
      <c r="F68">
        <v>0.5886878759002</v>
      </c>
      <c r="G68" t="str">
        <f>IFERROR(VLOOKUP($A68,Sheet1!$A$1:$D$29,2,0),"")</f>
        <v/>
      </c>
      <c r="H68" t="str">
        <f>IFERROR(VLOOKUP($A68,Sheet1!$A$1:$D$29,3,0),"")</f>
        <v/>
      </c>
      <c r="I68" t="str">
        <f>IFERROR(VLOOKUP($A68,Sheet1!$A$1:$D$29,4,0),"")</f>
        <v/>
      </c>
    </row>
    <row r="69" spans="1:9" x14ac:dyDescent="0.3">
      <c r="A69" t="s">
        <v>73</v>
      </c>
      <c r="B69">
        <v>0.164046481049133</v>
      </c>
      <c r="C69">
        <v>0.5</v>
      </c>
      <c r="D69">
        <v>0.21494099626698401</v>
      </c>
      <c r="E69">
        <v>0.19366708890592199</v>
      </c>
      <c r="F69">
        <v>0.31404648104913302</v>
      </c>
      <c r="G69" t="str">
        <f>IFERROR(VLOOKUP($A69,Sheet1!$A$1:$D$29,2,0),"")</f>
        <v/>
      </c>
      <c r="H69" t="str">
        <f>IFERROR(VLOOKUP($A69,Sheet1!$A$1:$D$29,3,0),"")</f>
        <v/>
      </c>
      <c r="I69" t="str">
        <f>IFERROR(VLOOKUP($A69,Sheet1!$A$1:$D$29,4,0),"")</f>
        <v/>
      </c>
    </row>
    <row r="70" spans="1:9" x14ac:dyDescent="0.3">
      <c r="A70" t="s">
        <v>74</v>
      </c>
      <c r="B70">
        <v>0.30203234216903002</v>
      </c>
      <c r="C70">
        <v>0.5</v>
      </c>
      <c r="D70">
        <v>0.35292685738688101</v>
      </c>
      <c r="E70">
        <v>0.33165295002581902</v>
      </c>
      <c r="F70">
        <v>0.45203234216902999</v>
      </c>
      <c r="G70" t="str">
        <f>IFERROR(VLOOKUP($A70,Sheet1!$A$1:$D$29,2,0),"")</f>
        <v/>
      </c>
      <c r="H70" t="str">
        <f>IFERROR(VLOOKUP($A70,Sheet1!$A$1:$D$29,3,0),"")</f>
        <v/>
      </c>
      <c r="I70" t="str">
        <f>IFERROR(VLOOKUP($A70,Sheet1!$A$1:$D$29,4,0),"")</f>
        <v/>
      </c>
    </row>
    <row r="71" spans="1:9" x14ac:dyDescent="0.3">
      <c r="A71" t="s">
        <v>75</v>
      </c>
      <c r="B71">
        <v>0.20799642953188099</v>
      </c>
      <c r="C71">
        <v>0.5</v>
      </c>
      <c r="D71">
        <v>0.25889094474973201</v>
      </c>
      <c r="E71">
        <v>0.23761703738866999</v>
      </c>
      <c r="F71">
        <v>0.35799642953188099</v>
      </c>
      <c r="G71" t="str">
        <f>IFERROR(VLOOKUP($A71,Sheet1!$A$1:$D$29,2,0),"")</f>
        <v/>
      </c>
      <c r="H71" t="str">
        <f>IFERROR(VLOOKUP($A71,Sheet1!$A$1:$D$29,3,0),"")</f>
        <v/>
      </c>
      <c r="I71" t="str">
        <f>IFERROR(VLOOKUP($A71,Sheet1!$A$1:$D$29,4,0),"")</f>
        <v/>
      </c>
    </row>
    <row r="72" spans="1:9" x14ac:dyDescent="0.3">
      <c r="A72" t="s">
        <v>76</v>
      </c>
      <c r="B72">
        <v>0.168091811641289</v>
      </c>
      <c r="C72">
        <v>0.5</v>
      </c>
      <c r="D72">
        <v>0.21898632685913999</v>
      </c>
      <c r="E72">
        <v>0.197712419498078</v>
      </c>
      <c r="F72">
        <v>0.31809181164128902</v>
      </c>
      <c r="G72" t="str">
        <f>IFERROR(VLOOKUP($A72,Sheet1!$A$1:$D$29,2,0),"")</f>
        <v/>
      </c>
      <c r="H72" t="str">
        <f>IFERROR(VLOOKUP($A72,Sheet1!$A$1:$D$29,3,0),"")</f>
        <v/>
      </c>
      <c r="I72" t="str">
        <f>IFERROR(VLOOKUP($A72,Sheet1!$A$1:$D$29,4,0),"")</f>
        <v/>
      </c>
    </row>
    <row r="73" spans="1:9" x14ac:dyDescent="0.3">
      <c r="A73" t="s">
        <v>77</v>
      </c>
      <c r="B73">
        <v>0.168051702284918</v>
      </c>
      <c r="C73">
        <v>0.5</v>
      </c>
      <c r="D73">
        <v>0.21894621750276899</v>
      </c>
      <c r="E73">
        <v>0.197672310141707</v>
      </c>
      <c r="F73">
        <v>0.31805170228491803</v>
      </c>
      <c r="G73" t="str">
        <f>IFERROR(VLOOKUP($A73,Sheet1!$A$1:$D$29,2,0),"")</f>
        <v/>
      </c>
      <c r="H73" t="str">
        <f>IFERROR(VLOOKUP($A73,Sheet1!$A$1:$D$29,3,0),"")</f>
        <v/>
      </c>
      <c r="I73" t="str">
        <f>IFERROR(VLOOKUP($A73,Sheet1!$A$1:$D$29,4,0),"")</f>
        <v/>
      </c>
    </row>
    <row r="74" spans="1:9" x14ac:dyDescent="0.3">
      <c r="A74" t="s">
        <v>78</v>
      </c>
      <c r="B74">
        <v>6.6893421429413194E-2</v>
      </c>
      <c r="C74">
        <v>0.5</v>
      </c>
      <c r="D74">
        <v>0.117787936647264</v>
      </c>
      <c r="E74">
        <v>9.6514029286202493E-2</v>
      </c>
      <c r="F74">
        <v>0.21689342142941301</v>
      </c>
      <c r="G74" t="str">
        <f>IFERROR(VLOOKUP($A74,Sheet1!$A$1:$D$29,2,0),"")</f>
        <v/>
      </c>
      <c r="H74" t="str">
        <f>IFERROR(VLOOKUP($A74,Sheet1!$A$1:$D$29,3,0),"")</f>
        <v/>
      </c>
      <c r="I74" t="str">
        <f>IFERROR(VLOOKUP($A74,Sheet1!$A$1:$D$29,4,0),"")</f>
        <v/>
      </c>
    </row>
    <row r="75" spans="1:9" x14ac:dyDescent="0.3">
      <c r="A75" t="s">
        <v>79</v>
      </c>
      <c r="B75">
        <v>0.103188991620652</v>
      </c>
      <c r="C75">
        <v>0.5</v>
      </c>
      <c r="D75">
        <v>0.154083506838503</v>
      </c>
      <c r="E75">
        <v>0.132809599477441</v>
      </c>
      <c r="F75">
        <v>0.253188991620652</v>
      </c>
      <c r="G75" t="str">
        <f>IFERROR(VLOOKUP($A75,Sheet1!$A$1:$D$29,2,0),"")</f>
        <v/>
      </c>
      <c r="H75" t="str">
        <f>IFERROR(VLOOKUP($A75,Sheet1!$A$1:$D$29,3,0),"")</f>
        <v/>
      </c>
      <c r="I75" t="str">
        <f>IFERROR(VLOOKUP($A75,Sheet1!$A$1:$D$29,4,0),"")</f>
        <v/>
      </c>
    </row>
    <row r="76" spans="1:9" x14ac:dyDescent="0.3">
      <c r="A76" t="s">
        <v>80</v>
      </c>
      <c r="B76">
        <v>0.184022150393821</v>
      </c>
      <c r="C76">
        <v>0.5</v>
      </c>
      <c r="D76">
        <v>0.23491666561167199</v>
      </c>
      <c r="E76">
        <v>0.21364275825060999</v>
      </c>
      <c r="F76">
        <v>0.33402215039382099</v>
      </c>
      <c r="G76">
        <f>IFERROR(VLOOKUP($A76,Sheet1!$A$1:$D$29,2,0),"")</f>
        <v>0.59866754571636804</v>
      </c>
      <c r="H76">
        <f>IFERROR(VLOOKUP($A76,Sheet1!$A$1:$D$29,3,0),"")</f>
        <v>0</v>
      </c>
      <c r="I76">
        <f>IFERROR(VLOOKUP($A76,Sheet1!$A$1:$D$29,4,0),"")</f>
        <v>0.184022150393821</v>
      </c>
    </row>
    <row r="77" spans="1:9" x14ac:dyDescent="0.3">
      <c r="A77" t="s">
        <v>81</v>
      </c>
      <c r="B77">
        <v>7.8214531882723495E-2</v>
      </c>
      <c r="C77">
        <v>0.5</v>
      </c>
      <c r="D77">
        <v>0.129109047100574</v>
      </c>
      <c r="E77">
        <v>0.107835139739513</v>
      </c>
      <c r="F77">
        <v>0.228214531882724</v>
      </c>
      <c r="G77" t="str">
        <f>IFERROR(VLOOKUP($A77,Sheet1!$A$1:$D$29,2,0),"")</f>
        <v/>
      </c>
      <c r="H77" t="str">
        <f>IFERROR(VLOOKUP($A77,Sheet1!$A$1:$D$29,3,0),"")</f>
        <v/>
      </c>
      <c r="I77" t="str">
        <f>IFERROR(VLOOKUP($A77,Sheet1!$A$1:$D$29,4,0),"")</f>
        <v/>
      </c>
    </row>
    <row r="78" spans="1:9" x14ac:dyDescent="0.3">
      <c r="A78" t="s">
        <v>82</v>
      </c>
      <c r="B78">
        <v>0.28758257275324101</v>
      </c>
      <c r="C78">
        <v>0.5</v>
      </c>
      <c r="D78">
        <v>0.33847708797109199</v>
      </c>
      <c r="E78">
        <v>0.31720318061003</v>
      </c>
      <c r="F78">
        <v>0.43758257275324097</v>
      </c>
      <c r="G78" t="str">
        <f>IFERROR(VLOOKUP($A78,Sheet1!$A$1:$D$29,2,0),"")</f>
        <v/>
      </c>
      <c r="H78" t="str">
        <f>IFERROR(VLOOKUP($A78,Sheet1!$A$1:$D$29,3,0),"")</f>
        <v/>
      </c>
      <c r="I78" t="str">
        <f>IFERROR(VLOOKUP($A78,Sheet1!$A$1:$D$29,4,0),"")</f>
        <v/>
      </c>
    </row>
    <row r="79" spans="1:9" x14ac:dyDescent="0.3">
      <c r="A79" t="s">
        <v>83</v>
      </c>
      <c r="B79">
        <v>0.203399730390626</v>
      </c>
      <c r="C79">
        <v>0.5</v>
      </c>
      <c r="D79">
        <v>0.25429424560847702</v>
      </c>
      <c r="E79">
        <v>0.233020338247415</v>
      </c>
      <c r="F79">
        <v>0.353399730390626</v>
      </c>
      <c r="G79" t="str">
        <f>IFERROR(VLOOKUP($A79,Sheet1!$A$1:$D$29,2,0),"")</f>
        <v/>
      </c>
      <c r="H79" t="str">
        <f>IFERROR(VLOOKUP($A79,Sheet1!$A$1:$D$29,3,0),"")</f>
        <v/>
      </c>
      <c r="I79" t="str">
        <f>IFERROR(VLOOKUP($A79,Sheet1!$A$1:$D$29,4,0),"")</f>
        <v/>
      </c>
    </row>
    <row r="80" spans="1:9" x14ac:dyDescent="0.3">
      <c r="A80" t="s">
        <v>84</v>
      </c>
      <c r="B80">
        <v>0.51120153491812503</v>
      </c>
      <c r="C80">
        <v>0.51120153491812503</v>
      </c>
      <c r="D80">
        <v>0.56209605013597597</v>
      </c>
      <c r="E80">
        <v>0.54082214277491403</v>
      </c>
      <c r="F80">
        <v>0.66120153491812494</v>
      </c>
      <c r="G80" t="str">
        <f>IFERROR(VLOOKUP($A80,Sheet1!$A$1:$D$29,2,0),"")</f>
        <v/>
      </c>
      <c r="H80" t="str">
        <f>IFERROR(VLOOKUP($A80,Sheet1!$A$1:$D$29,3,0),"")</f>
        <v/>
      </c>
      <c r="I80" t="str">
        <f>IFERROR(VLOOKUP($A80,Sheet1!$A$1:$D$29,4,0),"")</f>
        <v/>
      </c>
    </row>
    <row r="81" spans="1:9" x14ac:dyDescent="0.3">
      <c r="A81" t="s">
        <v>85</v>
      </c>
      <c r="B81">
        <v>0.134912063273285</v>
      </c>
      <c r="C81">
        <v>0.5</v>
      </c>
      <c r="D81">
        <v>0.18580657849113599</v>
      </c>
      <c r="E81">
        <v>0.164532671130074</v>
      </c>
      <c r="F81">
        <v>0.284912063273285</v>
      </c>
      <c r="G81">
        <f>IFERROR(VLOOKUP($A81,Sheet1!$A$1:$D$29,2,0),"")</f>
        <v>0.169314181625733</v>
      </c>
      <c r="H81">
        <f>IFERROR(VLOOKUP($A81,Sheet1!$A$1:$D$29,3,0),"")</f>
        <v>0</v>
      </c>
      <c r="I81">
        <f>IFERROR(VLOOKUP($A81,Sheet1!$A$1:$D$29,4,0),"")</f>
        <v>0.134912063273285</v>
      </c>
    </row>
    <row r="82" spans="1:9" x14ac:dyDescent="0.3">
      <c r="A82" t="s">
        <v>86</v>
      </c>
      <c r="B82">
        <v>4.02774975269082E-2</v>
      </c>
      <c r="C82">
        <v>0.5</v>
      </c>
      <c r="D82">
        <v>9.1172012744759195E-2</v>
      </c>
      <c r="E82">
        <v>6.9898105383697506E-2</v>
      </c>
      <c r="F82">
        <v>0.19027749752690801</v>
      </c>
      <c r="G82">
        <f>IFERROR(VLOOKUP($A82,Sheet1!$A$1:$D$29,2,0),"")</f>
        <v>6.6962186186272393E-2</v>
      </c>
      <c r="H82">
        <f>IFERROR(VLOOKUP($A82,Sheet1!$A$1:$D$29,3,0),"")</f>
        <v>0</v>
      </c>
      <c r="I82">
        <f>IFERROR(VLOOKUP($A82,Sheet1!$A$1:$D$29,4,0),"")</f>
        <v>4.02774975269082E-2</v>
      </c>
    </row>
    <row r="83" spans="1:9" x14ac:dyDescent="0.3">
      <c r="A83" t="s">
        <v>87</v>
      </c>
      <c r="B83">
        <v>0.215396865014502</v>
      </c>
      <c r="C83">
        <v>0.5</v>
      </c>
      <c r="D83">
        <v>0.26629138023235299</v>
      </c>
      <c r="E83">
        <v>0.245017472871291</v>
      </c>
      <c r="F83">
        <v>0.36539686501450203</v>
      </c>
      <c r="G83" t="str">
        <f>IFERROR(VLOOKUP($A83,Sheet1!$A$1:$D$29,2,0),"")</f>
        <v/>
      </c>
      <c r="H83" t="str">
        <f>IFERROR(VLOOKUP($A83,Sheet1!$A$1:$D$29,3,0),"")</f>
        <v/>
      </c>
      <c r="I83" t="str">
        <f>IFERROR(VLOOKUP($A83,Sheet1!$A$1:$D$29,4,0),"")</f>
        <v/>
      </c>
    </row>
    <row r="84" spans="1:9" x14ac:dyDescent="0.3">
      <c r="A84" t="s">
        <v>88</v>
      </c>
      <c r="B84">
        <v>0.124349308231433</v>
      </c>
      <c r="C84">
        <v>0.5</v>
      </c>
      <c r="D84">
        <v>0.17524382344928399</v>
      </c>
      <c r="E84">
        <v>0.153969916088222</v>
      </c>
      <c r="F84">
        <v>0.274349308231433</v>
      </c>
      <c r="G84" t="str">
        <f>IFERROR(VLOOKUP($A84,Sheet1!$A$1:$D$29,2,0),"")</f>
        <v/>
      </c>
      <c r="H84" t="str">
        <f>IFERROR(VLOOKUP($A84,Sheet1!$A$1:$D$29,3,0),"")</f>
        <v/>
      </c>
      <c r="I84" t="str">
        <f>IFERROR(VLOOKUP($A84,Sheet1!$A$1:$D$29,4,0),"")</f>
        <v/>
      </c>
    </row>
    <row r="85" spans="1:9" x14ac:dyDescent="0.3">
      <c r="A85" t="s">
        <v>89</v>
      </c>
      <c r="B85">
        <v>0.22335573963925401</v>
      </c>
      <c r="C85">
        <v>0.5</v>
      </c>
      <c r="D85">
        <v>0.27425025485710502</v>
      </c>
      <c r="E85">
        <v>0.25297634749604297</v>
      </c>
      <c r="F85">
        <v>0.373355739639254</v>
      </c>
      <c r="G85" t="str">
        <f>IFERROR(VLOOKUP($A85,Sheet1!$A$1:$D$29,2,0),"")</f>
        <v/>
      </c>
      <c r="H85" t="str">
        <f>IFERROR(VLOOKUP($A85,Sheet1!$A$1:$D$29,3,0),"")</f>
        <v/>
      </c>
      <c r="I85" t="str">
        <f>IFERROR(VLOOKUP($A85,Sheet1!$A$1:$D$29,4,0),"")</f>
        <v/>
      </c>
    </row>
    <row r="86" spans="1:9" x14ac:dyDescent="0.3">
      <c r="A86" t="s">
        <v>90</v>
      </c>
      <c r="B86">
        <v>0.24946660685050201</v>
      </c>
      <c r="C86">
        <v>0.5</v>
      </c>
      <c r="D86">
        <v>0.30036112206835303</v>
      </c>
      <c r="E86">
        <v>0.27908721470729098</v>
      </c>
      <c r="F86">
        <v>0.399466606850502</v>
      </c>
      <c r="G86" t="str">
        <f>IFERROR(VLOOKUP($A86,Sheet1!$A$1:$D$29,2,0),"")</f>
        <v/>
      </c>
      <c r="H86" t="str">
        <f>IFERROR(VLOOKUP($A86,Sheet1!$A$1:$D$29,3,0),"")</f>
        <v/>
      </c>
      <c r="I86" t="str">
        <f>IFERROR(VLOOKUP($A86,Sheet1!$A$1:$D$29,4,0),"")</f>
        <v/>
      </c>
    </row>
    <row r="87" spans="1:9" x14ac:dyDescent="0.3">
      <c r="A87" t="s">
        <v>91</v>
      </c>
      <c r="B87">
        <v>0.25756947865187502</v>
      </c>
      <c r="C87">
        <v>0.5</v>
      </c>
      <c r="D87">
        <v>0.30846399386972601</v>
      </c>
      <c r="E87">
        <v>0.28719008650866401</v>
      </c>
      <c r="F87">
        <v>0.40756947865187498</v>
      </c>
      <c r="G87" t="str">
        <f>IFERROR(VLOOKUP($A87,Sheet1!$A$1:$D$29,2,0),"")</f>
        <v/>
      </c>
      <c r="H87" t="str">
        <f>IFERROR(VLOOKUP($A87,Sheet1!$A$1:$D$29,3,0),"")</f>
        <v/>
      </c>
      <c r="I87" t="str">
        <f>IFERROR(VLOOKUP($A87,Sheet1!$A$1:$D$29,4,0),"")</f>
        <v/>
      </c>
    </row>
    <row r="88" spans="1:9" x14ac:dyDescent="0.3">
      <c r="A88" t="s">
        <v>92</v>
      </c>
      <c r="B88">
        <v>7.8210894636230099E-2</v>
      </c>
      <c r="C88">
        <v>0.5</v>
      </c>
      <c r="D88">
        <v>0.129105409854081</v>
      </c>
      <c r="E88">
        <v>0.107831502493019</v>
      </c>
      <c r="F88">
        <v>0.22821089463623001</v>
      </c>
      <c r="G88" t="str">
        <f>IFERROR(VLOOKUP($A88,Sheet1!$A$1:$D$29,2,0),"")</f>
        <v/>
      </c>
      <c r="H88" t="str">
        <f>IFERROR(VLOOKUP($A88,Sheet1!$A$1:$D$29,3,0),"")</f>
        <v/>
      </c>
      <c r="I88" t="str">
        <f>IFERROR(VLOOKUP($A88,Sheet1!$A$1:$D$29,4,0),"")</f>
        <v/>
      </c>
    </row>
    <row r="89" spans="1:9" x14ac:dyDescent="0.3">
      <c r="A89" t="s">
        <v>93</v>
      </c>
      <c r="B89">
        <v>0.16084993706734799</v>
      </c>
      <c r="C89">
        <v>0.5</v>
      </c>
      <c r="D89">
        <v>0.211744452285199</v>
      </c>
      <c r="E89">
        <v>0.19047054492413701</v>
      </c>
      <c r="F89">
        <v>0.31084993706734798</v>
      </c>
      <c r="G89" t="str">
        <f>IFERROR(VLOOKUP($A89,Sheet1!$A$1:$D$29,2,0),"")</f>
        <v/>
      </c>
      <c r="H89" t="str">
        <f>IFERROR(VLOOKUP($A89,Sheet1!$A$1:$D$29,3,0),"")</f>
        <v/>
      </c>
      <c r="I89" t="str">
        <f>IFERROR(VLOOKUP($A89,Sheet1!$A$1:$D$29,4,0),"")</f>
        <v/>
      </c>
    </row>
    <row r="90" spans="1:9" x14ac:dyDescent="0.3">
      <c r="A90" t="s">
        <v>94</v>
      </c>
      <c r="B90">
        <v>0.246490022380082</v>
      </c>
      <c r="C90">
        <v>0.5</v>
      </c>
      <c r="D90">
        <v>0.29738453759793299</v>
      </c>
      <c r="E90">
        <v>0.27611063023687099</v>
      </c>
      <c r="F90">
        <v>0.39649002238008202</v>
      </c>
      <c r="G90" t="str">
        <f>IFERROR(VLOOKUP($A90,Sheet1!$A$1:$D$29,2,0),"")</f>
        <v/>
      </c>
      <c r="H90" t="str">
        <f>IFERROR(VLOOKUP($A90,Sheet1!$A$1:$D$29,3,0),"")</f>
        <v/>
      </c>
      <c r="I90" t="str">
        <f>IFERROR(VLOOKUP($A90,Sheet1!$A$1:$D$29,4,0),"")</f>
        <v/>
      </c>
    </row>
    <row r="91" spans="1:9" x14ac:dyDescent="0.3">
      <c r="A91" t="s">
        <v>95</v>
      </c>
      <c r="B91">
        <v>0.30165000853027901</v>
      </c>
      <c r="C91">
        <v>0.5</v>
      </c>
      <c r="D91">
        <v>0.35254452374813</v>
      </c>
      <c r="E91">
        <v>0.33127061638706801</v>
      </c>
      <c r="F91">
        <v>0.45165000853027898</v>
      </c>
      <c r="G91" t="str">
        <f>IFERROR(VLOOKUP($A91,Sheet1!$A$1:$D$29,2,0),"")</f>
        <v/>
      </c>
      <c r="H91" t="str">
        <f>IFERROR(VLOOKUP($A91,Sheet1!$A$1:$D$29,3,0),"")</f>
        <v/>
      </c>
      <c r="I91" t="str">
        <f>IFERROR(VLOOKUP($A91,Sheet1!$A$1:$D$29,4,0),"")</f>
        <v/>
      </c>
    </row>
    <row r="92" spans="1:9" x14ac:dyDescent="0.3">
      <c r="A92" t="s">
        <v>96</v>
      </c>
      <c r="B92">
        <v>0.27730740326876602</v>
      </c>
      <c r="C92">
        <v>0.5</v>
      </c>
      <c r="D92">
        <v>0.32820191848661701</v>
      </c>
      <c r="E92">
        <v>0.30692801112555501</v>
      </c>
      <c r="F92">
        <v>0.42730740326876598</v>
      </c>
      <c r="G92" t="str">
        <f>IFERROR(VLOOKUP($A92,Sheet1!$A$1:$D$29,2,0),"")</f>
        <v/>
      </c>
      <c r="H92" t="str">
        <f>IFERROR(VLOOKUP($A92,Sheet1!$A$1:$D$29,3,0),"")</f>
        <v/>
      </c>
      <c r="I92" t="str">
        <f>IFERROR(VLOOKUP($A92,Sheet1!$A$1:$D$29,4,0),"")</f>
        <v/>
      </c>
    </row>
    <row r="93" spans="1:9" x14ac:dyDescent="0.3">
      <c r="A93" t="s">
        <v>97</v>
      </c>
      <c r="B93">
        <v>5.5519825103296103E-2</v>
      </c>
      <c r="C93">
        <v>0.5</v>
      </c>
      <c r="D93">
        <v>0.10641434032114699</v>
      </c>
      <c r="E93">
        <v>8.5140432960085402E-2</v>
      </c>
      <c r="F93">
        <v>0.205519825103296</v>
      </c>
      <c r="G93" t="str">
        <f>IFERROR(VLOOKUP($A93,Sheet1!$A$1:$D$29,2,0),"")</f>
        <v/>
      </c>
      <c r="H93" t="str">
        <f>IFERROR(VLOOKUP($A93,Sheet1!$A$1:$D$29,3,0),"")</f>
        <v/>
      </c>
      <c r="I93" t="str">
        <f>IFERROR(VLOOKUP($A93,Sheet1!$A$1:$D$29,4,0),"")</f>
        <v/>
      </c>
    </row>
    <row r="94" spans="1:9" x14ac:dyDescent="0.3">
      <c r="A94" t="s">
        <v>98</v>
      </c>
      <c r="B94">
        <v>5.8422959254641998E-2</v>
      </c>
      <c r="C94">
        <v>0.5</v>
      </c>
      <c r="D94">
        <v>0.109317474472493</v>
      </c>
      <c r="E94">
        <v>8.8043567111431298E-2</v>
      </c>
      <c r="F94">
        <v>0.20842295925464199</v>
      </c>
      <c r="G94" t="str">
        <f>IFERROR(VLOOKUP($A94,Sheet1!$A$1:$D$29,2,0),"")</f>
        <v/>
      </c>
      <c r="H94" t="str">
        <f>IFERROR(VLOOKUP($A94,Sheet1!$A$1:$D$29,3,0),"")</f>
        <v/>
      </c>
      <c r="I94" t="str">
        <f>IFERROR(VLOOKUP($A94,Sheet1!$A$1:$D$29,4,0),"")</f>
        <v/>
      </c>
    </row>
    <row r="95" spans="1:9" x14ac:dyDescent="0.3">
      <c r="A95" t="s">
        <v>99</v>
      </c>
      <c r="B95">
        <v>0.287494941116474</v>
      </c>
      <c r="C95">
        <v>0.5</v>
      </c>
      <c r="D95">
        <v>0.33838945633432499</v>
      </c>
      <c r="E95">
        <v>0.317115548973263</v>
      </c>
      <c r="F95">
        <v>0.43749494111647402</v>
      </c>
      <c r="G95" t="str">
        <f>IFERROR(VLOOKUP($A95,Sheet1!$A$1:$D$29,2,0),"")</f>
        <v/>
      </c>
      <c r="H95" t="str">
        <f>IFERROR(VLOOKUP($A95,Sheet1!$A$1:$D$29,3,0),"")</f>
        <v/>
      </c>
      <c r="I95" t="str">
        <f>IFERROR(VLOOKUP($A95,Sheet1!$A$1:$D$29,4,0),"")</f>
        <v/>
      </c>
    </row>
    <row r="96" spans="1:9" x14ac:dyDescent="0.3">
      <c r="A96" t="s">
        <v>100</v>
      </c>
      <c r="B96">
        <v>9.5349394439218998E-2</v>
      </c>
      <c r="C96">
        <v>0.5</v>
      </c>
      <c r="D96">
        <v>0.14624390965706999</v>
      </c>
      <c r="E96">
        <v>0.12497000229600801</v>
      </c>
      <c r="F96">
        <v>0.24534939443921899</v>
      </c>
      <c r="G96" t="str">
        <f>IFERROR(VLOOKUP($A96,Sheet1!$A$1:$D$29,2,0),"")</f>
        <v/>
      </c>
      <c r="H96" t="str">
        <f>IFERROR(VLOOKUP($A96,Sheet1!$A$1:$D$29,3,0),"")</f>
        <v/>
      </c>
      <c r="I96" t="str">
        <f>IFERROR(VLOOKUP($A96,Sheet1!$A$1:$D$29,4,0),"")</f>
        <v/>
      </c>
    </row>
    <row r="97" spans="1:9" x14ac:dyDescent="0.3">
      <c r="A97" t="s">
        <v>101</v>
      </c>
      <c r="B97">
        <v>0.136748896137214</v>
      </c>
      <c r="C97">
        <v>0.5</v>
      </c>
      <c r="D97">
        <v>0.18764341135506499</v>
      </c>
      <c r="E97">
        <v>0.16636950399400299</v>
      </c>
      <c r="F97">
        <v>0.28674889613721399</v>
      </c>
      <c r="G97" t="str">
        <f>IFERROR(VLOOKUP($A97,Sheet1!$A$1:$D$29,2,0),"")</f>
        <v/>
      </c>
      <c r="H97" t="str">
        <f>IFERROR(VLOOKUP($A97,Sheet1!$A$1:$D$29,3,0),"")</f>
        <v/>
      </c>
      <c r="I97" t="str">
        <f>IFERROR(VLOOKUP($A97,Sheet1!$A$1:$D$29,4,0),"")</f>
        <v/>
      </c>
    </row>
    <row r="98" spans="1:9" x14ac:dyDescent="0.3">
      <c r="A98" t="s">
        <v>102</v>
      </c>
      <c r="B98">
        <v>0.15844036301202899</v>
      </c>
      <c r="C98">
        <v>0.5</v>
      </c>
      <c r="D98">
        <v>0.20933487822988001</v>
      </c>
      <c r="E98">
        <v>0.18806097086881801</v>
      </c>
      <c r="F98">
        <v>0.30844036301202898</v>
      </c>
      <c r="G98" t="str">
        <f>IFERROR(VLOOKUP($A98,Sheet1!$A$1:$D$29,2,0),"")</f>
        <v/>
      </c>
      <c r="H98" t="str">
        <f>IFERROR(VLOOKUP($A98,Sheet1!$A$1:$D$29,3,0),"")</f>
        <v/>
      </c>
      <c r="I98" t="str">
        <f>IFERROR(VLOOKUP($A98,Sheet1!$A$1:$D$29,4,0),"")</f>
        <v/>
      </c>
    </row>
    <row r="99" spans="1:9" x14ac:dyDescent="0.3">
      <c r="A99" t="s">
        <v>103</v>
      </c>
      <c r="B99">
        <v>0.248027910513616</v>
      </c>
      <c r="C99">
        <v>0.5</v>
      </c>
      <c r="D99">
        <v>0.29892242573146699</v>
      </c>
      <c r="E99">
        <v>0.277648518370405</v>
      </c>
      <c r="F99">
        <v>0.39802791051361602</v>
      </c>
      <c r="G99" t="str">
        <f>IFERROR(VLOOKUP($A99,Sheet1!$A$1:$D$29,2,0),"")</f>
        <v/>
      </c>
      <c r="H99" t="str">
        <f>IFERROR(VLOOKUP($A99,Sheet1!$A$1:$D$29,3,0),"")</f>
        <v/>
      </c>
      <c r="I99" t="str">
        <f>IFERROR(VLOOKUP($A99,Sheet1!$A$1:$D$29,4,0),"")</f>
        <v/>
      </c>
    </row>
    <row r="100" spans="1:9" x14ac:dyDescent="0.3">
      <c r="A100" t="s">
        <v>104</v>
      </c>
      <c r="B100">
        <v>0.16832970400612399</v>
      </c>
      <c r="C100">
        <v>0.5</v>
      </c>
      <c r="D100">
        <v>0.219224219223975</v>
      </c>
      <c r="E100">
        <v>0.19795031186291301</v>
      </c>
      <c r="F100">
        <v>0.31832970400612398</v>
      </c>
      <c r="G100" t="str">
        <f>IFERROR(VLOOKUP($A100,Sheet1!$A$1:$D$29,2,0),"")</f>
        <v/>
      </c>
      <c r="H100" t="str">
        <f>IFERROR(VLOOKUP($A100,Sheet1!$A$1:$D$29,3,0),"")</f>
        <v/>
      </c>
      <c r="I100" t="str">
        <f>IFERROR(VLOOKUP($A100,Sheet1!$A$1:$D$29,4,0),"")</f>
        <v/>
      </c>
    </row>
    <row r="101" spans="1:9" x14ac:dyDescent="0.3">
      <c r="A101" t="s">
        <v>105</v>
      </c>
      <c r="B101">
        <v>8.1646899350529795E-2</v>
      </c>
      <c r="C101">
        <v>0.5</v>
      </c>
      <c r="D101">
        <v>0.13254141456838101</v>
      </c>
      <c r="E101">
        <v>0.111267507207319</v>
      </c>
      <c r="F101">
        <v>0.23164689935053001</v>
      </c>
      <c r="G101" t="str">
        <f>IFERROR(VLOOKUP($A101,Sheet1!$A$1:$D$29,2,0),"")</f>
        <v/>
      </c>
      <c r="H101" t="str">
        <f>IFERROR(VLOOKUP($A101,Sheet1!$A$1:$D$29,3,0),"")</f>
        <v/>
      </c>
      <c r="I101" t="str">
        <f>IFERROR(VLOOKUP($A101,Sheet1!$A$1:$D$29,4,0),"")</f>
        <v/>
      </c>
    </row>
    <row r="102" spans="1:9" x14ac:dyDescent="0.3">
      <c r="A102" t="s">
        <v>106</v>
      </c>
      <c r="B102">
        <v>9.5057060001035906E-2</v>
      </c>
      <c r="C102">
        <v>0.5</v>
      </c>
      <c r="D102">
        <v>0.14595157521888699</v>
      </c>
      <c r="E102">
        <v>0.124677667857825</v>
      </c>
      <c r="F102">
        <v>0.245057060001036</v>
      </c>
      <c r="G102" t="str">
        <f>IFERROR(VLOOKUP($A102,Sheet1!$A$1:$D$29,2,0),"")</f>
        <v/>
      </c>
      <c r="H102" t="str">
        <f>IFERROR(VLOOKUP($A102,Sheet1!$A$1:$D$29,3,0),"")</f>
        <v/>
      </c>
      <c r="I102" t="str">
        <f>IFERROR(VLOOKUP($A102,Sheet1!$A$1:$D$29,4,0),"")</f>
        <v/>
      </c>
    </row>
    <row r="103" spans="1:9" x14ac:dyDescent="0.3">
      <c r="A103" t="s">
        <v>107</v>
      </c>
      <c r="B103">
        <v>0.111605774121777</v>
      </c>
      <c r="C103">
        <v>0.5</v>
      </c>
      <c r="D103">
        <v>0.16250028933962801</v>
      </c>
      <c r="E103">
        <v>0.14122638197856599</v>
      </c>
      <c r="F103">
        <v>0.26160577412177699</v>
      </c>
      <c r="G103" t="str">
        <f>IFERROR(VLOOKUP($A103,Sheet1!$A$1:$D$29,2,0),"")</f>
        <v/>
      </c>
      <c r="H103" t="str">
        <f>IFERROR(VLOOKUP($A103,Sheet1!$A$1:$D$29,3,0),"")</f>
        <v/>
      </c>
      <c r="I103" t="str">
        <f>IFERROR(VLOOKUP($A103,Sheet1!$A$1:$D$29,4,0),"")</f>
        <v/>
      </c>
    </row>
    <row r="104" spans="1:9" x14ac:dyDescent="0.3">
      <c r="A104" t="s">
        <v>108</v>
      </c>
      <c r="B104">
        <v>0.276884140626173</v>
      </c>
      <c r="C104">
        <v>0.5</v>
      </c>
      <c r="D104">
        <v>0.32777865584402399</v>
      </c>
      <c r="E104">
        <v>0.306504748482962</v>
      </c>
      <c r="F104">
        <v>0.42688414062617303</v>
      </c>
      <c r="G104" t="str">
        <f>IFERROR(VLOOKUP($A104,Sheet1!$A$1:$D$29,2,0),"")</f>
        <v/>
      </c>
      <c r="H104" t="str">
        <f>IFERROR(VLOOKUP($A104,Sheet1!$A$1:$D$29,3,0),"")</f>
        <v/>
      </c>
      <c r="I104" t="str">
        <f>IFERROR(VLOOKUP($A104,Sheet1!$A$1:$D$29,4,0),"")</f>
        <v/>
      </c>
    </row>
    <row r="105" spans="1:9" x14ac:dyDescent="0.3">
      <c r="A105" t="s">
        <v>109</v>
      </c>
      <c r="B105">
        <v>6.1608741196133E-2</v>
      </c>
      <c r="C105">
        <v>0.5</v>
      </c>
      <c r="D105">
        <v>0.112503256413984</v>
      </c>
      <c r="E105">
        <v>9.1229349052922307E-2</v>
      </c>
      <c r="F105">
        <v>0.21160874119613299</v>
      </c>
      <c r="G105" t="str">
        <f>IFERROR(VLOOKUP($A105,Sheet1!$A$1:$D$29,2,0),"")</f>
        <v/>
      </c>
      <c r="H105" t="str">
        <f>IFERROR(VLOOKUP($A105,Sheet1!$A$1:$D$29,3,0),"")</f>
        <v/>
      </c>
      <c r="I105" t="str">
        <f>IFERROR(VLOOKUP($A105,Sheet1!$A$1:$D$29,4,0),"")</f>
        <v/>
      </c>
    </row>
    <row r="106" spans="1:9" x14ac:dyDescent="0.3">
      <c r="A106" t="s">
        <v>110</v>
      </c>
      <c r="B106">
        <v>9.2810063515609706E-2</v>
      </c>
      <c r="C106">
        <v>0.5</v>
      </c>
      <c r="D106">
        <v>0.14370457873346101</v>
      </c>
      <c r="E106">
        <v>0.12243067137239901</v>
      </c>
      <c r="F106">
        <v>0.24281006351560999</v>
      </c>
      <c r="G106" t="str">
        <f>IFERROR(VLOOKUP($A106,Sheet1!$A$1:$D$29,2,0),"")</f>
        <v/>
      </c>
      <c r="H106" t="str">
        <f>IFERROR(VLOOKUP($A106,Sheet1!$A$1:$D$29,3,0),"")</f>
        <v/>
      </c>
      <c r="I106" t="str">
        <f>IFERROR(VLOOKUP($A106,Sheet1!$A$1:$D$29,4,0),"")</f>
        <v/>
      </c>
    </row>
    <row r="107" spans="1:9" x14ac:dyDescent="0.3">
      <c r="A107" t="s">
        <v>111</v>
      </c>
      <c r="B107">
        <v>0.19520002299540701</v>
      </c>
      <c r="C107">
        <v>0.5</v>
      </c>
      <c r="D107">
        <v>0.246094538213258</v>
      </c>
      <c r="E107">
        <v>0.224820630852196</v>
      </c>
      <c r="F107">
        <v>0.34520002299540697</v>
      </c>
      <c r="G107" t="str">
        <f>IFERROR(VLOOKUP($A107,Sheet1!$A$1:$D$29,2,0),"")</f>
        <v/>
      </c>
      <c r="H107" t="str">
        <f>IFERROR(VLOOKUP($A107,Sheet1!$A$1:$D$29,3,0),"")</f>
        <v/>
      </c>
      <c r="I107" t="str">
        <f>IFERROR(VLOOKUP($A107,Sheet1!$A$1:$D$29,4,0),"")</f>
        <v/>
      </c>
    </row>
    <row r="108" spans="1:9" x14ac:dyDescent="0.3">
      <c r="A108" t="s">
        <v>112</v>
      </c>
      <c r="B108">
        <v>0.14170906023917401</v>
      </c>
      <c r="C108">
        <v>0.5</v>
      </c>
      <c r="D108">
        <v>0.192603575457025</v>
      </c>
      <c r="E108">
        <v>0.17132966809596301</v>
      </c>
      <c r="F108">
        <v>0.29170906023917398</v>
      </c>
      <c r="G108" t="str">
        <f>IFERROR(VLOOKUP($A108,Sheet1!$A$1:$D$29,2,0),"")</f>
        <v/>
      </c>
      <c r="H108" t="str">
        <f>IFERROR(VLOOKUP($A108,Sheet1!$A$1:$D$29,3,0),"")</f>
        <v/>
      </c>
      <c r="I108" t="str">
        <f>IFERROR(VLOOKUP($A108,Sheet1!$A$1:$D$29,4,0),"")</f>
        <v/>
      </c>
    </row>
    <row r="109" spans="1:9" x14ac:dyDescent="0.3">
      <c r="A109" t="s">
        <v>113</v>
      </c>
      <c r="B109">
        <v>0.13591837973261001</v>
      </c>
      <c r="C109">
        <v>0.5</v>
      </c>
      <c r="D109">
        <v>0.18681289495046099</v>
      </c>
      <c r="E109">
        <v>0.165538987589399</v>
      </c>
      <c r="F109">
        <v>0.28591837973260997</v>
      </c>
      <c r="G109" t="str">
        <f>IFERROR(VLOOKUP($A109,Sheet1!$A$1:$D$29,2,0),"")</f>
        <v/>
      </c>
      <c r="H109" t="str">
        <f>IFERROR(VLOOKUP($A109,Sheet1!$A$1:$D$29,3,0),"")</f>
        <v/>
      </c>
      <c r="I109" t="str">
        <f>IFERROR(VLOOKUP($A109,Sheet1!$A$1:$D$29,4,0),"")</f>
        <v/>
      </c>
    </row>
    <row r="110" spans="1:9" x14ac:dyDescent="0.3">
      <c r="A110" t="s">
        <v>114</v>
      </c>
      <c r="B110">
        <v>0.43460145774458397</v>
      </c>
      <c r="C110">
        <v>0.5</v>
      </c>
      <c r="D110">
        <v>0.48549597296243502</v>
      </c>
      <c r="E110">
        <v>0.46422206560137302</v>
      </c>
      <c r="F110">
        <v>0.58460145774458405</v>
      </c>
      <c r="G110" t="str">
        <f>IFERROR(VLOOKUP($A110,Sheet1!$A$1:$D$29,2,0),"")</f>
        <v/>
      </c>
      <c r="H110" t="str">
        <f>IFERROR(VLOOKUP($A110,Sheet1!$A$1:$D$29,3,0),"")</f>
        <v/>
      </c>
      <c r="I110" t="str">
        <f>IFERROR(VLOOKUP($A110,Sheet1!$A$1:$D$29,4,0),"")</f>
        <v/>
      </c>
    </row>
    <row r="111" spans="1:9" x14ac:dyDescent="0.3">
      <c r="A111" t="s">
        <v>115</v>
      </c>
      <c r="B111">
        <v>0.13200795704851001</v>
      </c>
      <c r="C111">
        <v>0.5</v>
      </c>
      <c r="D111">
        <v>0.182902472266361</v>
      </c>
      <c r="E111">
        <v>0.161628564905299</v>
      </c>
      <c r="F111">
        <v>0.28200795704851001</v>
      </c>
      <c r="G111" t="str">
        <f>IFERROR(VLOOKUP($A111,Sheet1!$A$1:$D$29,2,0),"")</f>
        <v/>
      </c>
      <c r="H111" t="str">
        <f>IFERROR(VLOOKUP($A111,Sheet1!$A$1:$D$29,3,0),"")</f>
        <v/>
      </c>
      <c r="I111" t="str">
        <f>IFERROR(VLOOKUP($A111,Sheet1!$A$1:$D$29,4,0),"")</f>
        <v/>
      </c>
    </row>
    <row r="112" spans="1:9" x14ac:dyDescent="0.3">
      <c r="A112" t="s">
        <v>116</v>
      </c>
      <c r="B112">
        <v>0.102495667882341</v>
      </c>
      <c r="C112">
        <v>0.5</v>
      </c>
      <c r="D112">
        <v>0.15339018310019201</v>
      </c>
      <c r="E112">
        <v>0.13211627573913001</v>
      </c>
      <c r="F112">
        <v>0.25249566788234101</v>
      </c>
      <c r="G112" t="str">
        <f>IFERROR(VLOOKUP($A112,Sheet1!$A$1:$D$29,2,0),"")</f>
        <v/>
      </c>
      <c r="H112" t="str">
        <f>IFERROR(VLOOKUP($A112,Sheet1!$A$1:$D$29,3,0),"")</f>
        <v/>
      </c>
      <c r="I112" t="str">
        <f>IFERROR(VLOOKUP($A112,Sheet1!$A$1:$D$29,4,0),"")</f>
        <v/>
      </c>
    </row>
    <row r="113" spans="1:9" x14ac:dyDescent="0.3">
      <c r="A113" t="s">
        <v>117</v>
      </c>
      <c r="B113">
        <v>0.326189316196695</v>
      </c>
      <c r="C113">
        <v>0.5</v>
      </c>
      <c r="D113">
        <v>0.37708383141454599</v>
      </c>
      <c r="E113">
        <v>0.35580992405348399</v>
      </c>
      <c r="F113">
        <v>0.47618931619669502</v>
      </c>
      <c r="G113" t="str">
        <f>IFERROR(VLOOKUP($A113,Sheet1!$A$1:$D$29,2,0),"")</f>
        <v/>
      </c>
      <c r="H113" t="str">
        <f>IFERROR(VLOOKUP($A113,Sheet1!$A$1:$D$29,3,0),"")</f>
        <v/>
      </c>
      <c r="I113" t="str">
        <f>IFERROR(VLOOKUP($A113,Sheet1!$A$1:$D$29,4,0),"")</f>
        <v/>
      </c>
    </row>
    <row r="114" spans="1:9" x14ac:dyDescent="0.3">
      <c r="A114" t="s">
        <v>118</v>
      </c>
      <c r="B114">
        <v>0.241534623810025</v>
      </c>
      <c r="C114">
        <v>0.5</v>
      </c>
      <c r="D114">
        <v>0.29242913902787598</v>
      </c>
      <c r="E114">
        <v>0.27115523166681399</v>
      </c>
      <c r="F114">
        <v>0.39153462381002502</v>
      </c>
      <c r="G114">
        <f>IFERROR(VLOOKUP($A114,Sheet1!$A$1:$D$29,2,0),"")</f>
        <v>0.54133246603787699</v>
      </c>
      <c r="H114">
        <f>IFERROR(VLOOKUP($A114,Sheet1!$A$1:$D$29,3,0),"")</f>
        <v>0</v>
      </c>
      <c r="I114">
        <f>IFERROR(VLOOKUP($A114,Sheet1!$A$1:$D$29,4,0),"")</f>
        <v>0.241534623810025</v>
      </c>
    </row>
    <row r="115" spans="1:9" x14ac:dyDescent="0.3">
      <c r="A115" t="s">
        <v>119</v>
      </c>
      <c r="B115">
        <v>0.12683515225132899</v>
      </c>
      <c r="C115">
        <v>0.5</v>
      </c>
      <c r="D115">
        <v>0.17772966746918001</v>
      </c>
      <c r="E115">
        <v>0.15645576010811801</v>
      </c>
      <c r="F115">
        <v>0.27683515225132899</v>
      </c>
      <c r="G115" t="str">
        <f>IFERROR(VLOOKUP($A115,Sheet1!$A$1:$D$29,2,0),"")</f>
        <v/>
      </c>
      <c r="H115" t="str">
        <f>IFERROR(VLOOKUP($A115,Sheet1!$A$1:$D$29,3,0),"")</f>
        <v/>
      </c>
      <c r="I115" t="str">
        <f>IFERROR(VLOOKUP($A115,Sheet1!$A$1:$D$29,4,0),"")</f>
        <v/>
      </c>
    </row>
    <row r="116" spans="1:9" x14ac:dyDescent="0.3">
      <c r="A116" t="s">
        <v>120</v>
      </c>
      <c r="B116">
        <v>0.22350784406288601</v>
      </c>
      <c r="C116">
        <v>0.5</v>
      </c>
      <c r="D116">
        <v>0.27440235928073697</v>
      </c>
      <c r="E116">
        <v>0.25312845191967498</v>
      </c>
      <c r="F116">
        <v>0.37350784406288601</v>
      </c>
      <c r="G116" t="str">
        <f>IFERROR(VLOOKUP($A116,Sheet1!$A$1:$D$29,2,0),"")</f>
        <v/>
      </c>
      <c r="H116" t="str">
        <f>IFERROR(VLOOKUP($A116,Sheet1!$A$1:$D$29,3,0),"")</f>
        <v/>
      </c>
      <c r="I116" t="str">
        <f>IFERROR(VLOOKUP($A116,Sheet1!$A$1:$D$29,4,0),"")</f>
        <v/>
      </c>
    </row>
    <row r="117" spans="1:9" x14ac:dyDescent="0.3">
      <c r="A117" t="s">
        <v>121</v>
      </c>
      <c r="B117">
        <v>0.205242686964308</v>
      </c>
      <c r="C117">
        <v>0.5</v>
      </c>
      <c r="D117">
        <v>0.25613720218215902</v>
      </c>
      <c r="E117">
        <v>0.234863294821097</v>
      </c>
      <c r="F117">
        <v>0.355242686964308</v>
      </c>
      <c r="G117" t="str">
        <f>IFERROR(VLOOKUP($A117,Sheet1!$A$1:$D$29,2,0),"")</f>
        <v/>
      </c>
      <c r="H117" t="str">
        <f>IFERROR(VLOOKUP($A117,Sheet1!$A$1:$D$29,3,0),"")</f>
        <v/>
      </c>
      <c r="I117" t="str">
        <f>IFERROR(VLOOKUP($A117,Sheet1!$A$1:$D$29,4,0),"")</f>
        <v/>
      </c>
    </row>
    <row r="118" spans="1:9" x14ac:dyDescent="0.3">
      <c r="A118" t="s">
        <v>122</v>
      </c>
      <c r="B118">
        <v>8.5903931725371294E-2</v>
      </c>
      <c r="C118">
        <v>0.5</v>
      </c>
      <c r="D118">
        <v>0.13679844694322199</v>
      </c>
      <c r="E118">
        <v>0.115524539582161</v>
      </c>
      <c r="F118">
        <v>0.235903931725371</v>
      </c>
      <c r="G118" t="str">
        <f>IFERROR(VLOOKUP($A118,Sheet1!$A$1:$D$29,2,0),"")</f>
        <v/>
      </c>
      <c r="H118" t="str">
        <f>IFERROR(VLOOKUP($A118,Sheet1!$A$1:$D$29,3,0),"")</f>
        <v/>
      </c>
      <c r="I118" t="str">
        <f>IFERROR(VLOOKUP($A118,Sheet1!$A$1:$D$29,4,0),"")</f>
        <v/>
      </c>
    </row>
    <row r="119" spans="1:9" x14ac:dyDescent="0.3">
      <c r="A119" t="s">
        <v>123</v>
      </c>
      <c r="B119">
        <v>6.5689775970026995E-2</v>
      </c>
      <c r="C119">
        <v>0.5</v>
      </c>
      <c r="D119">
        <v>0.116584291187878</v>
      </c>
      <c r="E119">
        <v>9.5310383826816295E-2</v>
      </c>
      <c r="F119">
        <v>0.215689775970027</v>
      </c>
      <c r="G119" t="str">
        <f>IFERROR(VLOOKUP($A119,Sheet1!$A$1:$D$29,2,0),"")</f>
        <v/>
      </c>
      <c r="H119" t="str">
        <f>IFERROR(VLOOKUP($A119,Sheet1!$A$1:$D$29,3,0),"")</f>
        <v/>
      </c>
      <c r="I119" t="str">
        <f>IFERROR(VLOOKUP($A119,Sheet1!$A$1:$D$29,4,0),"")</f>
        <v/>
      </c>
    </row>
    <row r="120" spans="1:9" x14ac:dyDescent="0.3">
      <c r="A120" t="s">
        <v>124</v>
      </c>
      <c r="B120">
        <v>0.139991429516931</v>
      </c>
      <c r="C120">
        <v>0.5</v>
      </c>
      <c r="D120">
        <v>0.19088594473478199</v>
      </c>
      <c r="E120">
        <v>0.16961203737371999</v>
      </c>
      <c r="F120">
        <v>0.28999142951693102</v>
      </c>
      <c r="G120" t="str">
        <f>IFERROR(VLOOKUP($A120,Sheet1!$A$1:$D$29,2,0),"")</f>
        <v/>
      </c>
      <c r="H120" t="str">
        <f>IFERROR(VLOOKUP($A120,Sheet1!$A$1:$D$29,3,0),"")</f>
        <v/>
      </c>
      <c r="I120" t="str">
        <f>IFERROR(VLOOKUP($A120,Sheet1!$A$1:$D$29,4,0),"")</f>
        <v/>
      </c>
    </row>
    <row r="121" spans="1:9" x14ac:dyDescent="0.3">
      <c r="A121" t="s">
        <v>125</v>
      </c>
      <c r="B121">
        <v>0.20061168666197801</v>
      </c>
      <c r="C121">
        <v>0.5</v>
      </c>
      <c r="D121">
        <v>0.25150620187982897</v>
      </c>
      <c r="E121">
        <v>0.23023229451876701</v>
      </c>
      <c r="F121">
        <v>0.35061168666197801</v>
      </c>
      <c r="G121" t="str">
        <f>IFERROR(VLOOKUP($A121,Sheet1!$A$1:$D$29,2,0),"")</f>
        <v/>
      </c>
      <c r="H121" t="str">
        <f>IFERROR(VLOOKUP($A121,Sheet1!$A$1:$D$29,3,0),"")</f>
        <v/>
      </c>
      <c r="I121" t="str">
        <f>IFERROR(VLOOKUP($A121,Sheet1!$A$1:$D$29,4,0),"")</f>
        <v/>
      </c>
    </row>
    <row r="122" spans="1:9" x14ac:dyDescent="0.3">
      <c r="A122" t="s">
        <v>126</v>
      </c>
      <c r="B122">
        <v>6.8818874121429202E-2</v>
      </c>
      <c r="C122">
        <v>0.5</v>
      </c>
      <c r="D122">
        <v>0.11971338933928</v>
      </c>
      <c r="E122">
        <v>9.8439481978218502E-2</v>
      </c>
      <c r="F122">
        <v>0.218818874121429</v>
      </c>
      <c r="G122" t="str">
        <f>IFERROR(VLOOKUP($A122,Sheet1!$A$1:$D$29,2,0),"")</f>
        <v/>
      </c>
      <c r="H122" t="str">
        <f>IFERROR(VLOOKUP($A122,Sheet1!$A$1:$D$29,3,0),"")</f>
        <v/>
      </c>
      <c r="I122" t="str">
        <f>IFERROR(VLOOKUP($A122,Sheet1!$A$1:$D$29,4,0),"")</f>
        <v/>
      </c>
    </row>
    <row r="123" spans="1:9" x14ac:dyDescent="0.3">
      <c r="A123" t="s">
        <v>127</v>
      </c>
      <c r="B123">
        <v>0.21252107160158901</v>
      </c>
      <c r="C123">
        <v>0.5</v>
      </c>
      <c r="D123">
        <v>0.26341558681944</v>
      </c>
      <c r="E123">
        <v>0.242141679458378</v>
      </c>
      <c r="F123">
        <v>0.36252107160158897</v>
      </c>
      <c r="G123" t="str">
        <f>IFERROR(VLOOKUP($A123,Sheet1!$A$1:$D$29,2,0),"")</f>
        <v/>
      </c>
      <c r="H123" t="str">
        <f>IFERROR(VLOOKUP($A123,Sheet1!$A$1:$D$29,3,0),"")</f>
        <v/>
      </c>
      <c r="I123" t="str">
        <f>IFERROR(VLOOKUP($A123,Sheet1!$A$1:$D$29,4,0),"")</f>
        <v/>
      </c>
    </row>
    <row r="124" spans="1:9" x14ac:dyDescent="0.3">
      <c r="A124" t="s">
        <v>128</v>
      </c>
      <c r="B124">
        <v>0.25720557312884001</v>
      </c>
      <c r="C124">
        <v>0.5</v>
      </c>
      <c r="D124">
        <v>0.308100088346691</v>
      </c>
      <c r="E124">
        <v>0.28682618098562901</v>
      </c>
      <c r="F124">
        <v>0.40720557312883998</v>
      </c>
      <c r="G124" t="str">
        <f>IFERROR(VLOOKUP($A124,Sheet1!$A$1:$D$29,2,0),"")</f>
        <v/>
      </c>
      <c r="H124" t="str">
        <f>IFERROR(VLOOKUP($A124,Sheet1!$A$1:$D$29,3,0),"")</f>
        <v/>
      </c>
      <c r="I124" t="str">
        <f>IFERROR(VLOOKUP($A124,Sheet1!$A$1:$D$29,4,0),"")</f>
        <v/>
      </c>
    </row>
    <row r="125" spans="1:9" x14ac:dyDescent="0.3">
      <c r="A125" t="s">
        <v>129</v>
      </c>
      <c r="B125">
        <v>0.30123271570626398</v>
      </c>
      <c r="C125">
        <v>0.5</v>
      </c>
      <c r="D125">
        <v>0.35212723092411502</v>
      </c>
      <c r="E125">
        <v>0.33085332356305303</v>
      </c>
      <c r="F125">
        <v>0.451232715706264</v>
      </c>
      <c r="G125" t="str">
        <f>IFERROR(VLOOKUP($A125,Sheet1!$A$1:$D$29,2,0),"")</f>
        <v/>
      </c>
      <c r="H125" t="str">
        <f>IFERROR(VLOOKUP($A125,Sheet1!$A$1:$D$29,3,0),"")</f>
        <v/>
      </c>
      <c r="I125" t="str">
        <f>IFERROR(VLOOKUP($A125,Sheet1!$A$1:$D$29,4,0),"")</f>
        <v/>
      </c>
    </row>
    <row r="126" spans="1:9" x14ac:dyDescent="0.3">
      <c r="A126" t="s">
        <v>130</v>
      </c>
      <c r="B126">
        <v>5.6566281609548498E-2</v>
      </c>
      <c r="C126">
        <v>0.5</v>
      </c>
      <c r="D126">
        <v>0.10746079682739899</v>
      </c>
      <c r="E126">
        <v>8.6186889466337804E-2</v>
      </c>
      <c r="F126">
        <v>0.20656628160954901</v>
      </c>
      <c r="G126" t="str">
        <f>IFERROR(VLOOKUP($A126,Sheet1!$A$1:$D$29,2,0),"")</f>
        <v/>
      </c>
      <c r="H126" t="str">
        <f>IFERROR(VLOOKUP($A126,Sheet1!$A$1:$D$29,3,0),"")</f>
        <v/>
      </c>
      <c r="I126" t="str">
        <f>IFERROR(VLOOKUP($A126,Sheet1!$A$1:$D$29,4,0),"")</f>
        <v/>
      </c>
    </row>
    <row r="127" spans="1:9" x14ac:dyDescent="0.3">
      <c r="A127" t="s">
        <v>131</v>
      </c>
      <c r="B127">
        <v>0.112232450844304</v>
      </c>
      <c r="C127">
        <v>0.5</v>
      </c>
      <c r="D127">
        <v>0.16312696606215499</v>
      </c>
      <c r="E127">
        <v>0.14185305870109299</v>
      </c>
      <c r="F127">
        <v>0.26223245084430402</v>
      </c>
      <c r="G127">
        <f>IFERROR(VLOOKUP($A127,Sheet1!$A$1:$D$29,2,0),"")</f>
        <v>0.21646032731192599</v>
      </c>
      <c r="H127">
        <f>IFERROR(VLOOKUP($A127,Sheet1!$A$1:$D$29,3,0),"")</f>
        <v>0</v>
      </c>
      <c r="I127">
        <f>IFERROR(VLOOKUP($A127,Sheet1!$A$1:$D$29,4,0),"")</f>
        <v>0.112232450844304</v>
      </c>
    </row>
    <row r="128" spans="1:9" x14ac:dyDescent="0.3">
      <c r="A128" t="s">
        <v>132</v>
      </c>
      <c r="B128">
        <v>0.20628652564000599</v>
      </c>
      <c r="C128">
        <v>0.5</v>
      </c>
      <c r="D128">
        <v>0.25718104085785698</v>
      </c>
      <c r="E128">
        <v>0.23590713349679501</v>
      </c>
      <c r="F128">
        <v>0.35628652564000601</v>
      </c>
      <c r="G128" t="str">
        <f>IFERROR(VLOOKUP($A128,Sheet1!$A$1:$D$29,2,0),"")</f>
        <v/>
      </c>
      <c r="H128" t="str">
        <f>IFERROR(VLOOKUP($A128,Sheet1!$A$1:$D$29,3,0),"")</f>
        <v/>
      </c>
      <c r="I128" t="str">
        <f>IFERROR(VLOOKUP($A128,Sheet1!$A$1:$D$29,4,0),"")</f>
        <v/>
      </c>
    </row>
    <row r="129" spans="1:9" x14ac:dyDescent="0.3">
      <c r="A129" t="s">
        <v>133</v>
      </c>
      <c r="B129">
        <v>0.28822242717030899</v>
      </c>
      <c r="C129">
        <v>0.5</v>
      </c>
      <c r="D129">
        <v>0.33911694238815998</v>
      </c>
      <c r="E129">
        <v>0.31784303502709799</v>
      </c>
      <c r="F129">
        <v>0.43822242717030901</v>
      </c>
      <c r="G129" t="str">
        <f>IFERROR(VLOOKUP($A129,Sheet1!$A$1:$D$29,2,0),"")</f>
        <v/>
      </c>
      <c r="H129" t="str">
        <f>IFERROR(VLOOKUP($A129,Sheet1!$A$1:$D$29,3,0),"")</f>
        <v/>
      </c>
      <c r="I129" t="str">
        <f>IFERROR(VLOOKUP($A129,Sheet1!$A$1:$D$29,4,0),"")</f>
        <v/>
      </c>
    </row>
    <row r="130" spans="1:9" x14ac:dyDescent="0.3">
      <c r="A130" t="s">
        <v>134</v>
      </c>
      <c r="B130">
        <v>0.12563731999181699</v>
      </c>
      <c r="C130">
        <v>0.5</v>
      </c>
      <c r="D130">
        <v>0.176531835209668</v>
      </c>
      <c r="E130">
        <v>0.15525792784860601</v>
      </c>
      <c r="F130">
        <v>0.27563731999181701</v>
      </c>
      <c r="G130" t="str">
        <f>IFERROR(VLOOKUP($A130,Sheet1!$A$1:$D$29,2,0),"")</f>
        <v/>
      </c>
      <c r="H130" t="str">
        <f>IFERROR(VLOOKUP($A130,Sheet1!$A$1:$D$29,3,0),"")</f>
        <v/>
      </c>
      <c r="I130" t="str">
        <f>IFERROR(VLOOKUP($A130,Sheet1!$A$1:$D$29,4,0),"")</f>
        <v/>
      </c>
    </row>
    <row r="131" spans="1:9" x14ac:dyDescent="0.3">
      <c r="A131" t="s">
        <v>135</v>
      </c>
      <c r="B131">
        <v>0.10217170447606699</v>
      </c>
      <c r="C131">
        <v>0.5</v>
      </c>
      <c r="D131">
        <v>0.15306621969391801</v>
      </c>
      <c r="E131">
        <v>0.13179231233285599</v>
      </c>
      <c r="F131">
        <v>0.25217170447606702</v>
      </c>
      <c r="G131">
        <f>IFERROR(VLOOKUP($A131,Sheet1!$A$1:$D$29,2,0),"")</f>
        <v>6.4584811923349902E-2</v>
      </c>
      <c r="H131">
        <f>IFERROR(VLOOKUP($A131,Sheet1!$A$1:$D$29,3,0),"")</f>
        <v>0</v>
      </c>
      <c r="I131">
        <f>IFERROR(VLOOKUP($A131,Sheet1!$A$1:$D$29,4,0),"")</f>
        <v>6.4584811923349902E-2</v>
      </c>
    </row>
    <row r="132" spans="1:9" x14ac:dyDescent="0.3">
      <c r="A132" t="s">
        <v>136</v>
      </c>
      <c r="B132">
        <v>0.18462562870399099</v>
      </c>
      <c r="C132">
        <v>0.5</v>
      </c>
      <c r="D132">
        <v>0.23552014392184201</v>
      </c>
      <c r="E132">
        <v>0.21424623656078001</v>
      </c>
      <c r="F132">
        <v>0.33462562870399098</v>
      </c>
      <c r="G132" t="str">
        <f>IFERROR(VLOOKUP($A132,Sheet1!$A$1:$D$29,2,0),"")</f>
        <v/>
      </c>
      <c r="H132" t="str">
        <f>IFERROR(VLOOKUP($A132,Sheet1!$A$1:$D$29,3,0),"")</f>
        <v/>
      </c>
      <c r="I132" t="str">
        <f>IFERROR(VLOOKUP($A132,Sheet1!$A$1:$D$29,4,0),"")</f>
        <v/>
      </c>
    </row>
    <row r="133" spans="1:9" x14ac:dyDescent="0.3">
      <c r="A133" t="s">
        <v>137</v>
      </c>
      <c r="B133">
        <v>0.24210314615546699</v>
      </c>
      <c r="C133">
        <v>0.5</v>
      </c>
      <c r="D133">
        <v>0.29299766137331801</v>
      </c>
      <c r="E133">
        <v>0.27172375401225601</v>
      </c>
      <c r="F133">
        <v>0.39210314615546699</v>
      </c>
      <c r="G133">
        <f>IFERROR(VLOOKUP($A133,Sheet1!$A$1:$D$29,2,0),"")</f>
        <v>0.43792771487767601</v>
      </c>
      <c r="H133">
        <f>IFERROR(VLOOKUP($A133,Sheet1!$A$1:$D$29,3,0),"")</f>
        <v>0</v>
      </c>
      <c r="I133">
        <f>IFERROR(VLOOKUP($A133,Sheet1!$A$1:$D$29,4,0),"")</f>
        <v>0.24210314615546699</v>
      </c>
    </row>
    <row r="134" spans="1:9" x14ac:dyDescent="0.3">
      <c r="A134" t="s">
        <v>138</v>
      </c>
      <c r="B134">
        <v>9.4848554057598802E-2</v>
      </c>
      <c r="C134">
        <v>0.5</v>
      </c>
      <c r="D134">
        <v>0.14574306927545</v>
      </c>
      <c r="E134">
        <v>0.124469161914388</v>
      </c>
      <c r="F134">
        <v>0.244848554057599</v>
      </c>
      <c r="G134" t="str">
        <f>IFERROR(VLOOKUP($A134,Sheet1!$A$1:$D$29,2,0),"")</f>
        <v/>
      </c>
      <c r="H134" t="str">
        <f>IFERROR(VLOOKUP($A134,Sheet1!$A$1:$D$29,3,0),"")</f>
        <v/>
      </c>
      <c r="I134" t="str">
        <f>IFERROR(VLOOKUP($A134,Sheet1!$A$1:$D$29,4,0),"")</f>
        <v/>
      </c>
    </row>
    <row r="135" spans="1:9" x14ac:dyDescent="0.3">
      <c r="A135" t="s">
        <v>139</v>
      </c>
      <c r="B135">
        <v>0.10513328243471901</v>
      </c>
      <c r="C135">
        <v>0.5</v>
      </c>
      <c r="D135">
        <v>0.15602779765256999</v>
      </c>
      <c r="E135">
        <v>0.134753890291508</v>
      </c>
      <c r="F135">
        <v>0.255133282434719</v>
      </c>
      <c r="G135" t="str">
        <f>IFERROR(VLOOKUP($A135,Sheet1!$A$1:$D$29,2,0),"")</f>
        <v/>
      </c>
      <c r="H135" t="str">
        <f>IFERROR(VLOOKUP($A135,Sheet1!$A$1:$D$29,3,0),"")</f>
        <v/>
      </c>
      <c r="I135" t="str">
        <f>IFERROR(VLOOKUP($A135,Sheet1!$A$1:$D$29,4,0),"")</f>
        <v/>
      </c>
    </row>
    <row r="136" spans="1:9" x14ac:dyDescent="0.3">
      <c r="A136" t="s">
        <v>140</v>
      </c>
      <c r="B136">
        <v>0.163559451483555</v>
      </c>
      <c r="C136">
        <v>0.5</v>
      </c>
      <c r="D136">
        <v>0.21445396670140601</v>
      </c>
      <c r="E136">
        <v>0.19318005934034399</v>
      </c>
      <c r="F136">
        <v>0.31355945148355502</v>
      </c>
      <c r="G136">
        <f>IFERROR(VLOOKUP($A136,Sheet1!$A$1:$D$29,2,0),"")</f>
        <v>0.27137055704109198</v>
      </c>
      <c r="H136">
        <f>IFERROR(VLOOKUP($A136,Sheet1!$A$1:$D$29,3,0),"")</f>
        <v>0</v>
      </c>
      <c r="I136">
        <f>IFERROR(VLOOKUP($A136,Sheet1!$A$1:$D$29,4,0),"")</f>
        <v>0.163559451483555</v>
      </c>
    </row>
    <row r="137" spans="1:9" x14ac:dyDescent="0.3">
      <c r="A137" t="s">
        <v>141</v>
      </c>
      <c r="B137">
        <v>0.15295645225525201</v>
      </c>
      <c r="C137">
        <v>0.5</v>
      </c>
      <c r="D137">
        <v>0.203850967473103</v>
      </c>
      <c r="E137">
        <v>0.182577060112041</v>
      </c>
      <c r="F137">
        <v>0.30295645225525197</v>
      </c>
      <c r="G137">
        <f>IFERROR(VLOOKUP($A137,Sheet1!$A$1:$D$29,2,0),"")</f>
        <v>0.50376399370740099</v>
      </c>
      <c r="H137">
        <f>IFERROR(VLOOKUP($A137,Sheet1!$A$1:$D$29,3,0),"")</f>
        <v>0</v>
      </c>
      <c r="I137">
        <f>IFERROR(VLOOKUP($A137,Sheet1!$A$1:$D$29,4,0),"")</f>
        <v>0.15295645225525201</v>
      </c>
    </row>
    <row r="138" spans="1:9" x14ac:dyDescent="0.3">
      <c r="A138" t="s">
        <v>142</v>
      </c>
      <c r="B138">
        <v>0.30091469318438002</v>
      </c>
      <c r="C138">
        <v>0.5</v>
      </c>
      <c r="D138">
        <v>0.35180920840223101</v>
      </c>
      <c r="E138">
        <v>0.33053530104116902</v>
      </c>
      <c r="F138">
        <v>0.45091469318437999</v>
      </c>
      <c r="G138" t="str">
        <f>IFERROR(VLOOKUP($A138,Sheet1!$A$1:$D$29,2,0),"")</f>
        <v/>
      </c>
      <c r="H138" t="str">
        <f>IFERROR(VLOOKUP($A138,Sheet1!$A$1:$D$29,3,0),"")</f>
        <v/>
      </c>
      <c r="I138" t="str">
        <f>IFERROR(VLOOKUP($A138,Sheet1!$A$1:$D$29,4,0),"")</f>
        <v/>
      </c>
    </row>
    <row r="139" spans="1:9" x14ac:dyDescent="0.3">
      <c r="A139" t="s">
        <v>143</v>
      </c>
      <c r="B139">
        <v>0.41005113065757798</v>
      </c>
      <c r="C139">
        <v>0.5</v>
      </c>
      <c r="D139">
        <v>0.46094564587542902</v>
      </c>
      <c r="E139">
        <v>0.43967173851436703</v>
      </c>
      <c r="F139">
        <v>0.56005113065757794</v>
      </c>
      <c r="G139" t="str">
        <f>IFERROR(VLOOKUP($A139,Sheet1!$A$1:$D$29,2,0),"")</f>
        <v/>
      </c>
      <c r="H139" t="str">
        <f>IFERROR(VLOOKUP($A139,Sheet1!$A$1:$D$29,3,0),"")</f>
        <v/>
      </c>
      <c r="I139" t="str">
        <f>IFERROR(VLOOKUP($A139,Sheet1!$A$1:$D$29,4,0),"")</f>
        <v/>
      </c>
    </row>
    <row r="140" spans="1:9" x14ac:dyDescent="0.3">
      <c r="A140" t="s">
        <v>144</v>
      </c>
      <c r="B140">
        <v>0.194991324329123</v>
      </c>
      <c r="C140">
        <v>0.5</v>
      </c>
      <c r="D140">
        <v>0.24588583954697399</v>
      </c>
      <c r="E140">
        <v>0.22461193218591199</v>
      </c>
      <c r="F140">
        <v>0.34499132432912299</v>
      </c>
      <c r="G140" t="str">
        <f>IFERROR(VLOOKUP($A140,Sheet1!$A$1:$D$29,2,0),"")</f>
        <v/>
      </c>
      <c r="H140" t="str">
        <f>IFERROR(VLOOKUP($A140,Sheet1!$A$1:$D$29,3,0),"")</f>
        <v/>
      </c>
      <c r="I140" t="str">
        <f>IFERROR(VLOOKUP($A140,Sheet1!$A$1:$D$29,4,0),"")</f>
        <v/>
      </c>
    </row>
    <row r="141" spans="1:9" x14ac:dyDescent="0.3">
      <c r="A141" t="s">
        <v>145</v>
      </c>
      <c r="B141">
        <v>0.22160882778371899</v>
      </c>
      <c r="C141">
        <v>0.5</v>
      </c>
      <c r="D141">
        <v>0.27250334300156998</v>
      </c>
      <c r="E141">
        <v>0.25122943564050798</v>
      </c>
      <c r="F141">
        <v>0.37160882778371901</v>
      </c>
      <c r="G141" t="str">
        <f>IFERROR(VLOOKUP($A141,Sheet1!$A$1:$D$29,2,0),"")</f>
        <v/>
      </c>
      <c r="H141" t="str">
        <f>IFERROR(VLOOKUP($A141,Sheet1!$A$1:$D$29,3,0),"")</f>
        <v/>
      </c>
      <c r="I141" t="str">
        <f>IFERROR(VLOOKUP($A141,Sheet1!$A$1:$D$29,4,0),"")</f>
        <v/>
      </c>
    </row>
    <row r="142" spans="1:9" x14ac:dyDescent="0.3">
      <c r="A142" t="s">
        <v>146</v>
      </c>
      <c r="B142">
        <v>0.504369377380392</v>
      </c>
      <c r="C142">
        <v>0.504369377380392</v>
      </c>
      <c r="D142">
        <v>0.55526389259824305</v>
      </c>
      <c r="E142">
        <v>0.533989985237181</v>
      </c>
      <c r="F142">
        <v>0.65436937738039203</v>
      </c>
      <c r="G142" t="str">
        <f>IFERROR(VLOOKUP($A142,Sheet1!$A$1:$D$29,2,0),"")</f>
        <v/>
      </c>
      <c r="H142" t="str">
        <f>IFERROR(VLOOKUP($A142,Sheet1!$A$1:$D$29,3,0),"")</f>
        <v/>
      </c>
      <c r="I142" t="str">
        <f>IFERROR(VLOOKUP($A142,Sheet1!$A$1:$D$29,4,0),"")</f>
        <v/>
      </c>
    </row>
    <row r="143" spans="1:9" x14ac:dyDescent="0.3">
      <c r="A143" t="s">
        <v>147</v>
      </c>
      <c r="B143">
        <v>7.9210418710371003E-2</v>
      </c>
      <c r="C143">
        <v>0.5</v>
      </c>
      <c r="D143">
        <v>0.13010493392822201</v>
      </c>
      <c r="E143">
        <v>0.10883102656716</v>
      </c>
      <c r="F143">
        <v>0.22921041871037101</v>
      </c>
      <c r="G143" t="str">
        <f>IFERROR(VLOOKUP($A143,Sheet1!$A$1:$D$29,2,0),"")</f>
        <v/>
      </c>
      <c r="H143" t="str">
        <f>IFERROR(VLOOKUP($A143,Sheet1!$A$1:$D$29,3,0),"")</f>
        <v/>
      </c>
      <c r="I143" t="str">
        <f>IFERROR(VLOOKUP($A143,Sheet1!$A$1:$D$29,4,0),"")</f>
        <v/>
      </c>
    </row>
    <row r="144" spans="1:9" x14ac:dyDescent="0.3">
      <c r="A144" t="s">
        <v>148</v>
      </c>
      <c r="B144">
        <v>0.26437895645515602</v>
      </c>
      <c r="C144">
        <v>0.5</v>
      </c>
      <c r="D144">
        <v>0.31527347167300701</v>
      </c>
      <c r="E144">
        <v>0.29399956431194502</v>
      </c>
      <c r="F144">
        <v>0.41437895645515599</v>
      </c>
      <c r="G144" t="str">
        <f>IFERROR(VLOOKUP($A144,Sheet1!$A$1:$D$29,2,0),"")</f>
        <v/>
      </c>
      <c r="H144" t="str">
        <f>IFERROR(VLOOKUP($A144,Sheet1!$A$1:$D$29,3,0),"")</f>
        <v/>
      </c>
      <c r="I144" t="str">
        <f>IFERROR(VLOOKUP($A144,Sheet1!$A$1:$D$29,4,0),"")</f>
        <v/>
      </c>
    </row>
    <row r="145" spans="1:9" x14ac:dyDescent="0.3">
      <c r="A145" t="s">
        <v>149</v>
      </c>
      <c r="B145">
        <v>0.15700979914066401</v>
      </c>
      <c r="C145">
        <v>0.5</v>
      </c>
      <c r="D145">
        <v>0.207904314358515</v>
      </c>
      <c r="E145">
        <v>0.18663040699745301</v>
      </c>
      <c r="F145">
        <v>0.30700979914066401</v>
      </c>
      <c r="G145" t="str">
        <f>IFERROR(VLOOKUP($A145,Sheet1!$A$1:$D$29,2,0),"")</f>
        <v/>
      </c>
      <c r="H145" t="str">
        <f>IFERROR(VLOOKUP($A145,Sheet1!$A$1:$D$29,3,0),"")</f>
        <v/>
      </c>
      <c r="I145" t="str">
        <f>IFERROR(VLOOKUP($A145,Sheet1!$A$1:$D$29,4,0),"")</f>
        <v/>
      </c>
    </row>
    <row r="146" spans="1:9" x14ac:dyDescent="0.3">
      <c r="A146" t="s">
        <v>150</v>
      </c>
      <c r="B146">
        <v>5.8729295989525601E-2</v>
      </c>
      <c r="C146">
        <v>0.5</v>
      </c>
      <c r="D146">
        <v>0.10962381120737701</v>
      </c>
      <c r="E146">
        <v>8.8349903846314901E-2</v>
      </c>
      <c r="F146">
        <v>0.208729295989526</v>
      </c>
      <c r="G146" t="str">
        <f>IFERROR(VLOOKUP($A146,Sheet1!$A$1:$D$29,2,0),"")</f>
        <v/>
      </c>
      <c r="H146" t="str">
        <f>IFERROR(VLOOKUP($A146,Sheet1!$A$1:$D$29,3,0),"")</f>
        <v/>
      </c>
      <c r="I146" t="str">
        <f>IFERROR(VLOOKUP($A146,Sheet1!$A$1:$D$29,4,0),"")</f>
        <v/>
      </c>
    </row>
    <row r="147" spans="1:9" x14ac:dyDescent="0.3">
      <c r="A147" t="s">
        <v>151</v>
      </c>
      <c r="B147">
        <v>0.17001465580830899</v>
      </c>
      <c r="C147">
        <v>0.5</v>
      </c>
      <c r="D147">
        <v>0.22090917102616001</v>
      </c>
      <c r="E147">
        <v>0.19963526366509801</v>
      </c>
      <c r="F147">
        <v>0.32001465580830901</v>
      </c>
      <c r="G147">
        <f>IFERROR(VLOOKUP($A147,Sheet1!$A$1:$D$29,2,0),"")</f>
        <v>0.473064644852354</v>
      </c>
      <c r="H147">
        <f>IFERROR(VLOOKUP($A147,Sheet1!$A$1:$D$29,3,0),"")</f>
        <v>0</v>
      </c>
      <c r="I147">
        <f>IFERROR(VLOOKUP($A147,Sheet1!$A$1:$D$29,4,0),"")</f>
        <v>0.17001465580830899</v>
      </c>
    </row>
    <row r="148" spans="1:9" x14ac:dyDescent="0.3">
      <c r="A148" t="s">
        <v>152</v>
      </c>
      <c r="B148">
        <v>0.174979002887823</v>
      </c>
      <c r="C148">
        <v>0.5</v>
      </c>
      <c r="D148">
        <v>0.22587351810567399</v>
      </c>
      <c r="E148">
        <v>0.204599610744612</v>
      </c>
      <c r="F148">
        <v>0.324979002887823</v>
      </c>
      <c r="G148" t="str">
        <f>IFERROR(VLOOKUP($A148,Sheet1!$A$1:$D$29,2,0),"")</f>
        <v/>
      </c>
      <c r="H148" t="str">
        <f>IFERROR(VLOOKUP($A148,Sheet1!$A$1:$D$29,3,0),"")</f>
        <v/>
      </c>
      <c r="I148" t="str">
        <f>IFERROR(VLOOKUP($A148,Sheet1!$A$1:$D$29,4,0),"")</f>
        <v/>
      </c>
    </row>
    <row r="149" spans="1:9" x14ac:dyDescent="0.3">
      <c r="A149" t="s">
        <v>153</v>
      </c>
      <c r="B149">
        <v>9.9272341888688498E-2</v>
      </c>
      <c r="C149">
        <v>0.5</v>
      </c>
      <c r="D149">
        <v>0.15016685710653899</v>
      </c>
      <c r="E149">
        <v>0.12889294974547799</v>
      </c>
      <c r="F149">
        <v>0.24927234188868899</v>
      </c>
      <c r="G149" t="str">
        <f>IFERROR(VLOOKUP($A149,Sheet1!$A$1:$D$29,2,0),"")</f>
        <v/>
      </c>
      <c r="H149" t="str">
        <f>IFERROR(VLOOKUP($A149,Sheet1!$A$1:$D$29,3,0),"")</f>
        <v/>
      </c>
      <c r="I149" t="str">
        <f>IFERROR(VLOOKUP($A149,Sheet1!$A$1:$D$29,4,0),"")</f>
        <v/>
      </c>
    </row>
    <row r="150" spans="1:9" x14ac:dyDescent="0.3">
      <c r="A150" t="s">
        <v>154</v>
      </c>
      <c r="B150">
        <v>8.2465198543270501E-2</v>
      </c>
      <c r="C150">
        <v>0.5</v>
      </c>
      <c r="D150">
        <v>0.13335971376112099</v>
      </c>
      <c r="E150">
        <v>0.11208580640006</v>
      </c>
      <c r="F150">
        <v>0.232465198543271</v>
      </c>
      <c r="G150" t="str">
        <f>IFERROR(VLOOKUP($A150,Sheet1!$A$1:$D$29,2,0),"")</f>
        <v/>
      </c>
      <c r="H150" t="str">
        <f>IFERROR(VLOOKUP($A150,Sheet1!$A$1:$D$29,3,0),"")</f>
        <v/>
      </c>
      <c r="I150" t="str">
        <f>IFERROR(VLOOKUP($A150,Sheet1!$A$1:$D$29,4,0),"")</f>
        <v/>
      </c>
    </row>
    <row r="151" spans="1:9" x14ac:dyDescent="0.3">
      <c r="A151" t="s">
        <v>155</v>
      </c>
      <c r="B151">
        <v>0.19972922659834699</v>
      </c>
      <c r="C151">
        <v>0.5</v>
      </c>
      <c r="D151">
        <v>0.25062374181619801</v>
      </c>
      <c r="E151">
        <v>0.22934983445513599</v>
      </c>
      <c r="F151">
        <v>0.34972922659834699</v>
      </c>
      <c r="G151" t="str">
        <f>IFERROR(VLOOKUP($A151,Sheet1!$A$1:$D$29,2,0),"")</f>
        <v/>
      </c>
      <c r="H151" t="str">
        <f>IFERROR(VLOOKUP($A151,Sheet1!$A$1:$D$29,3,0),"")</f>
        <v/>
      </c>
      <c r="I151" t="str">
        <f>IFERROR(VLOOKUP($A151,Sheet1!$A$1:$D$29,4,0),"")</f>
        <v/>
      </c>
    </row>
    <row r="152" spans="1:9" x14ac:dyDescent="0.3">
      <c r="A152" t="s">
        <v>156</v>
      </c>
      <c r="B152">
        <v>8.5582271480588196E-2</v>
      </c>
      <c r="C152">
        <v>0.5</v>
      </c>
      <c r="D152">
        <v>0.13647678669843899</v>
      </c>
      <c r="E152">
        <v>0.115202879337377</v>
      </c>
      <c r="F152">
        <v>0.235582271480588</v>
      </c>
      <c r="G152" t="str">
        <f>IFERROR(VLOOKUP($A152,Sheet1!$A$1:$D$29,2,0),"")</f>
        <v/>
      </c>
      <c r="H152" t="str">
        <f>IFERROR(VLOOKUP($A152,Sheet1!$A$1:$D$29,3,0),"")</f>
        <v/>
      </c>
      <c r="I152" t="str">
        <f>IFERROR(VLOOKUP($A152,Sheet1!$A$1:$D$29,4,0),"")</f>
        <v/>
      </c>
    </row>
    <row r="153" spans="1:9" x14ac:dyDescent="0.3">
      <c r="A153" t="s">
        <v>157</v>
      </c>
      <c r="B153">
        <v>0.22363961172108099</v>
      </c>
      <c r="C153">
        <v>0.5</v>
      </c>
      <c r="D153">
        <v>0.27453412693893198</v>
      </c>
      <c r="E153">
        <v>0.25326021957786998</v>
      </c>
      <c r="F153">
        <v>0.37363961172108101</v>
      </c>
      <c r="G153" t="str">
        <f>IFERROR(VLOOKUP($A153,Sheet1!$A$1:$D$29,2,0),"")</f>
        <v/>
      </c>
      <c r="H153" t="str">
        <f>IFERROR(VLOOKUP($A153,Sheet1!$A$1:$D$29,3,0),"")</f>
        <v/>
      </c>
      <c r="I153" t="str">
        <f>IFERROR(VLOOKUP($A153,Sheet1!$A$1:$D$29,4,0),"")</f>
        <v/>
      </c>
    </row>
    <row r="154" spans="1:9" x14ac:dyDescent="0.3">
      <c r="A154" t="s">
        <v>158</v>
      </c>
      <c r="B154">
        <v>0.21457184874964799</v>
      </c>
      <c r="C154">
        <v>0.5</v>
      </c>
      <c r="D154">
        <v>0.26546636396749901</v>
      </c>
      <c r="E154">
        <v>0.24419245660643699</v>
      </c>
      <c r="F154">
        <v>0.36457184874964799</v>
      </c>
      <c r="G154" t="str">
        <f>IFERROR(VLOOKUP($A154,Sheet1!$A$1:$D$29,2,0),"")</f>
        <v/>
      </c>
      <c r="H154" t="str">
        <f>IFERROR(VLOOKUP($A154,Sheet1!$A$1:$D$29,3,0),"")</f>
        <v/>
      </c>
      <c r="I154" t="str">
        <f>IFERROR(VLOOKUP($A154,Sheet1!$A$1:$D$29,4,0),"")</f>
        <v/>
      </c>
    </row>
    <row r="155" spans="1:9" x14ac:dyDescent="0.3">
      <c r="A155" t="s">
        <v>159</v>
      </c>
      <c r="B155">
        <v>7.7800099943550999E-2</v>
      </c>
      <c r="C155">
        <v>0.5</v>
      </c>
      <c r="D155">
        <v>0.12869461516140199</v>
      </c>
      <c r="E155">
        <v>0.10742070780034001</v>
      </c>
      <c r="F155">
        <v>0.22780009994355099</v>
      </c>
      <c r="G155" t="str">
        <f>IFERROR(VLOOKUP($A155,Sheet1!$A$1:$D$29,2,0),"")</f>
        <v/>
      </c>
      <c r="H155" t="str">
        <f>IFERROR(VLOOKUP($A155,Sheet1!$A$1:$D$29,3,0),"")</f>
        <v/>
      </c>
      <c r="I155" t="str">
        <f>IFERROR(VLOOKUP($A155,Sheet1!$A$1:$D$29,4,0),"")</f>
        <v/>
      </c>
    </row>
    <row r="156" spans="1:9" x14ac:dyDescent="0.3">
      <c r="A156" t="s">
        <v>160</v>
      </c>
      <c r="B156">
        <v>0.36538584994644202</v>
      </c>
      <c r="C156">
        <v>0.5</v>
      </c>
      <c r="D156">
        <v>0.41628036516429301</v>
      </c>
      <c r="E156">
        <v>0.39500645780323101</v>
      </c>
      <c r="F156">
        <v>0.51538584994644199</v>
      </c>
      <c r="G156" t="str">
        <f>IFERROR(VLOOKUP($A156,Sheet1!$A$1:$D$29,2,0),"")</f>
        <v/>
      </c>
      <c r="H156" t="str">
        <f>IFERROR(VLOOKUP($A156,Sheet1!$A$1:$D$29,3,0),"")</f>
        <v/>
      </c>
      <c r="I156" t="str">
        <f>IFERROR(VLOOKUP($A156,Sheet1!$A$1:$D$29,4,0),"")</f>
        <v/>
      </c>
    </row>
    <row r="157" spans="1:9" x14ac:dyDescent="0.3">
      <c r="A157" t="s">
        <v>161</v>
      </c>
      <c r="B157">
        <v>0.320982692801002</v>
      </c>
      <c r="C157">
        <v>0.5</v>
      </c>
      <c r="D157">
        <v>0.37187720801885299</v>
      </c>
      <c r="E157">
        <v>0.35060330065779099</v>
      </c>
      <c r="F157">
        <v>0.47098269280100202</v>
      </c>
      <c r="G157" t="str">
        <f>IFERROR(VLOOKUP($A157,Sheet1!$A$1:$D$29,2,0),"")</f>
        <v/>
      </c>
      <c r="H157" t="str">
        <f>IFERROR(VLOOKUP($A157,Sheet1!$A$1:$D$29,3,0),"")</f>
        <v/>
      </c>
      <c r="I157" t="str">
        <f>IFERROR(VLOOKUP($A157,Sheet1!$A$1:$D$29,4,0),"")</f>
        <v/>
      </c>
    </row>
    <row r="158" spans="1:9" x14ac:dyDescent="0.3">
      <c r="A158" t="s">
        <v>162</v>
      </c>
      <c r="B158">
        <v>0.204167790954909</v>
      </c>
      <c r="C158">
        <v>0.5</v>
      </c>
      <c r="D158">
        <v>0.25506230617275999</v>
      </c>
      <c r="E158">
        <v>0.23378839881169799</v>
      </c>
      <c r="F158">
        <v>0.35416779095490902</v>
      </c>
      <c r="G158" t="str">
        <f>IFERROR(VLOOKUP($A158,Sheet1!$A$1:$D$29,2,0),"")</f>
        <v/>
      </c>
      <c r="H158" t="str">
        <f>IFERROR(VLOOKUP($A158,Sheet1!$A$1:$D$29,3,0),"")</f>
        <v/>
      </c>
      <c r="I158" t="str">
        <f>IFERROR(VLOOKUP($A158,Sheet1!$A$1:$D$29,4,0),"")</f>
        <v/>
      </c>
    </row>
    <row r="159" spans="1:9" x14ac:dyDescent="0.3">
      <c r="A159" t="s">
        <v>163</v>
      </c>
      <c r="B159">
        <v>5.9532006822227999E-2</v>
      </c>
      <c r="C159">
        <v>0.5</v>
      </c>
      <c r="D159">
        <v>0.11042652204007899</v>
      </c>
      <c r="E159">
        <v>8.9152614679017306E-2</v>
      </c>
      <c r="F159">
        <v>0.209532006822228</v>
      </c>
      <c r="G159" t="str">
        <f>IFERROR(VLOOKUP($A159,Sheet1!$A$1:$D$29,2,0),"")</f>
        <v/>
      </c>
      <c r="H159" t="str">
        <f>IFERROR(VLOOKUP($A159,Sheet1!$A$1:$D$29,3,0),"")</f>
        <v/>
      </c>
      <c r="I159" t="str">
        <f>IFERROR(VLOOKUP($A159,Sheet1!$A$1:$D$29,4,0),"")</f>
        <v/>
      </c>
    </row>
    <row r="160" spans="1:9" x14ac:dyDescent="0.3">
      <c r="A160" t="s">
        <v>164</v>
      </c>
      <c r="B160">
        <v>9.2983650845761198E-2</v>
      </c>
      <c r="C160">
        <v>0.5</v>
      </c>
      <c r="D160">
        <v>0.14387816606361201</v>
      </c>
      <c r="E160">
        <v>0.12260425870255</v>
      </c>
      <c r="F160">
        <v>0.24298365084576101</v>
      </c>
      <c r="G160" t="str">
        <f>IFERROR(VLOOKUP($A160,Sheet1!$A$1:$D$29,2,0),"")</f>
        <v/>
      </c>
      <c r="H160" t="str">
        <f>IFERROR(VLOOKUP($A160,Sheet1!$A$1:$D$29,3,0),"")</f>
        <v/>
      </c>
      <c r="I160" t="str">
        <f>IFERROR(VLOOKUP($A160,Sheet1!$A$1:$D$29,4,0),"")</f>
        <v/>
      </c>
    </row>
    <row r="161" spans="1:9" x14ac:dyDescent="0.3">
      <c r="A161" t="s">
        <v>165</v>
      </c>
      <c r="B161">
        <v>0.20983203774998599</v>
      </c>
      <c r="C161">
        <v>0.5</v>
      </c>
      <c r="D161">
        <v>0.26072655296783698</v>
      </c>
      <c r="E161">
        <v>0.23945264560677501</v>
      </c>
      <c r="F161">
        <v>0.35983203774998601</v>
      </c>
      <c r="G161" t="str">
        <f>IFERROR(VLOOKUP($A161,Sheet1!$A$1:$D$29,2,0),"")</f>
        <v/>
      </c>
      <c r="H161" t="str">
        <f>IFERROR(VLOOKUP($A161,Sheet1!$A$1:$D$29,3,0),"")</f>
        <v/>
      </c>
      <c r="I161" t="str">
        <f>IFERROR(VLOOKUP($A161,Sheet1!$A$1:$D$29,4,0),"")</f>
        <v/>
      </c>
    </row>
    <row r="162" spans="1:9" x14ac:dyDescent="0.3">
      <c r="A162" t="s">
        <v>166</v>
      </c>
      <c r="B162">
        <v>0.106418188828878</v>
      </c>
      <c r="C162">
        <v>0.5</v>
      </c>
      <c r="D162">
        <v>0.15731270404672901</v>
      </c>
      <c r="E162">
        <v>0.13603879668566701</v>
      </c>
      <c r="F162">
        <v>0.25641818882887801</v>
      </c>
      <c r="G162" t="str">
        <f>IFERROR(VLOOKUP($A162,Sheet1!$A$1:$D$29,2,0),"")</f>
        <v/>
      </c>
      <c r="H162" t="str">
        <f>IFERROR(VLOOKUP($A162,Sheet1!$A$1:$D$29,3,0),"")</f>
        <v/>
      </c>
      <c r="I162" t="str">
        <f>IFERROR(VLOOKUP($A162,Sheet1!$A$1:$D$29,4,0),"")</f>
        <v/>
      </c>
    </row>
    <row r="163" spans="1:9" x14ac:dyDescent="0.3">
      <c r="A163" t="s">
        <v>167</v>
      </c>
      <c r="B163">
        <v>0.301531040053097</v>
      </c>
      <c r="C163">
        <v>0.5</v>
      </c>
      <c r="D163">
        <v>0.35242555527094799</v>
      </c>
      <c r="E163">
        <v>0.33115164790988599</v>
      </c>
      <c r="F163">
        <v>0.45153104005309702</v>
      </c>
      <c r="G163" t="str">
        <f>IFERROR(VLOOKUP($A163,Sheet1!$A$1:$D$29,2,0),"")</f>
        <v/>
      </c>
      <c r="H163" t="str">
        <f>IFERROR(VLOOKUP($A163,Sheet1!$A$1:$D$29,3,0),"")</f>
        <v/>
      </c>
      <c r="I163" t="str">
        <f>IFERROR(VLOOKUP($A163,Sheet1!$A$1:$D$29,4,0),"")</f>
        <v/>
      </c>
    </row>
    <row r="164" spans="1:9" x14ac:dyDescent="0.3">
      <c r="A164" t="s">
        <v>168</v>
      </c>
      <c r="B164">
        <v>0.14322124547725701</v>
      </c>
      <c r="C164">
        <v>0.5</v>
      </c>
      <c r="D164">
        <v>0.194115760695108</v>
      </c>
      <c r="E164">
        <v>0.172841853334046</v>
      </c>
      <c r="F164">
        <v>0.29322124547725698</v>
      </c>
      <c r="G164">
        <f>IFERROR(VLOOKUP($A164,Sheet1!$A$1:$D$29,2,0),"")</f>
        <v>1.3290655561585599E-4</v>
      </c>
      <c r="H164">
        <f>IFERROR(VLOOKUP($A164,Sheet1!$A$1:$D$29,3,0),"")</f>
        <v>0</v>
      </c>
      <c r="I164">
        <f>IFERROR(VLOOKUP($A164,Sheet1!$A$1:$D$29,4,0),"")</f>
        <v>1.3290655561585599E-4</v>
      </c>
    </row>
    <row r="165" spans="1:9" x14ac:dyDescent="0.3">
      <c r="A165" t="s">
        <v>169</v>
      </c>
      <c r="B165">
        <v>7.5297942135875304E-2</v>
      </c>
      <c r="C165">
        <v>0.5</v>
      </c>
      <c r="D165">
        <v>0.126192457353726</v>
      </c>
      <c r="E165">
        <v>0.10491854999266501</v>
      </c>
      <c r="F165">
        <v>0.22529794213587501</v>
      </c>
      <c r="G165" t="str">
        <f>IFERROR(VLOOKUP($A165,Sheet1!$A$1:$D$29,2,0),"")</f>
        <v/>
      </c>
      <c r="H165" t="str">
        <f>IFERROR(VLOOKUP($A165,Sheet1!$A$1:$D$29,3,0),"")</f>
        <v/>
      </c>
      <c r="I165" t="str">
        <f>IFERROR(VLOOKUP($A165,Sheet1!$A$1:$D$29,4,0),"")</f>
        <v/>
      </c>
    </row>
    <row r="166" spans="1:9" x14ac:dyDescent="0.3">
      <c r="A166" t="s">
        <v>170</v>
      </c>
      <c r="B166">
        <v>0.19451079358709999</v>
      </c>
      <c r="C166">
        <v>0.5</v>
      </c>
      <c r="D166">
        <v>0.24540530880495101</v>
      </c>
      <c r="E166">
        <v>0.22413140144388899</v>
      </c>
      <c r="F166">
        <v>0.34451079358710002</v>
      </c>
      <c r="G166">
        <f>IFERROR(VLOOKUP($A166,Sheet1!$A$1:$D$29,2,0),"")</f>
        <v>0</v>
      </c>
      <c r="H166">
        <f>IFERROR(VLOOKUP($A166,Sheet1!$A$1:$D$29,3,0),"")</f>
        <v>0</v>
      </c>
      <c r="I166">
        <f>IFERROR(VLOOKUP($A166,Sheet1!$A$1:$D$29,4,0),"")</f>
        <v>0</v>
      </c>
    </row>
    <row r="167" spans="1:9" x14ac:dyDescent="0.3">
      <c r="A167" t="s">
        <v>171</v>
      </c>
      <c r="B167">
        <v>0.20337102887393499</v>
      </c>
      <c r="C167">
        <v>0.5</v>
      </c>
      <c r="D167">
        <v>0.25426554409178598</v>
      </c>
      <c r="E167">
        <v>0.23299163673072401</v>
      </c>
      <c r="F167">
        <v>0.35337102887393501</v>
      </c>
      <c r="G167" t="str">
        <f>IFERROR(VLOOKUP($A167,Sheet1!$A$1:$D$29,2,0),"")</f>
        <v/>
      </c>
      <c r="H167" t="str">
        <f>IFERROR(VLOOKUP($A167,Sheet1!$A$1:$D$29,3,0),"")</f>
        <v/>
      </c>
      <c r="I167" t="str">
        <f>IFERROR(VLOOKUP($A167,Sheet1!$A$1:$D$29,4,0),"")</f>
        <v/>
      </c>
    </row>
    <row r="168" spans="1:9" x14ac:dyDescent="0.3">
      <c r="A168" t="s">
        <v>172</v>
      </c>
      <c r="B168">
        <v>0.35724097742008198</v>
      </c>
      <c r="C168">
        <v>0.5</v>
      </c>
      <c r="D168">
        <v>0.40813549263793297</v>
      </c>
      <c r="E168">
        <v>0.38686158527687098</v>
      </c>
      <c r="F168">
        <v>0.50724097742008201</v>
      </c>
      <c r="G168" t="str">
        <f>IFERROR(VLOOKUP($A168,Sheet1!$A$1:$D$29,2,0),"")</f>
        <v/>
      </c>
      <c r="H168" t="str">
        <f>IFERROR(VLOOKUP($A168,Sheet1!$A$1:$D$29,3,0),"")</f>
        <v/>
      </c>
      <c r="I168" t="str">
        <f>IFERROR(VLOOKUP($A168,Sheet1!$A$1:$D$29,4,0),"")</f>
        <v/>
      </c>
    </row>
    <row r="169" spans="1:9" x14ac:dyDescent="0.3">
      <c r="A169" t="s">
        <v>173</v>
      </c>
      <c r="B169">
        <v>0.18883709427201001</v>
      </c>
      <c r="C169">
        <v>0.5</v>
      </c>
      <c r="D169">
        <v>0.239731609489861</v>
      </c>
      <c r="E169">
        <v>0.218457702128799</v>
      </c>
      <c r="F169">
        <v>0.33883709427200998</v>
      </c>
      <c r="G169" t="str">
        <f>IFERROR(VLOOKUP($A169,Sheet1!$A$1:$D$29,2,0),"")</f>
        <v/>
      </c>
      <c r="H169" t="str">
        <f>IFERROR(VLOOKUP($A169,Sheet1!$A$1:$D$29,3,0),"")</f>
        <v/>
      </c>
      <c r="I169" t="str">
        <f>IFERROR(VLOOKUP($A169,Sheet1!$A$1:$D$29,4,0),"")</f>
        <v/>
      </c>
    </row>
    <row r="170" spans="1:9" x14ac:dyDescent="0.3">
      <c r="A170" t="s">
        <v>174</v>
      </c>
      <c r="B170">
        <v>0.38351230969736599</v>
      </c>
      <c r="C170">
        <v>0.5</v>
      </c>
      <c r="D170">
        <v>0.43440682491521698</v>
      </c>
      <c r="E170">
        <v>0.41313291755415499</v>
      </c>
      <c r="F170">
        <v>0.53351230969736596</v>
      </c>
      <c r="G170" t="str">
        <f>IFERROR(VLOOKUP($A170,Sheet1!$A$1:$D$29,2,0),"")</f>
        <v/>
      </c>
      <c r="H170" t="str">
        <f>IFERROR(VLOOKUP($A170,Sheet1!$A$1:$D$29,3,0),"")</f>
        <v/>
      </c>
      <c r="I170" t="str">
        <f>IFERROR(VLOOKUP($A170,Sheet1!$A$1:$D$29,4,0),"")</f>
        <v/>
      </c>
    </row>
    <row r="171" spans="1:9" x14ac:dyDescent="0.3">
      <c r="A171" t="s">
        <v>175</v>
      </c>
      <c r="B171">
        <v>6.7468137663810504E-2</v>
      </c>
      <c r="C171">
        <v>0.5</v>
      </c>
      <c r="D171">
        <v>0.11836265288166101</v>
      </c>
      <c r="E171">
        <v>9.7088745520599803E-2</v>
      </c>
      <c r="F171">
        <v>0.21746813766381101</v>
      </c>
      <c r="G171" t="str">
        <f>IFERROR(VLOOKUP($A171,Sheet1!$A$1:$D$29,2,0),"")</f>
        <v/>
      </c>
      <c r="H171" t="str">
        <f>IFERROR(VLOOKUP($A171,Sheet1!$A$1:$D$29,3,0),"")</f>
        <v/>
      </c>
      <c r="I171" t="str">
        <f>IFERROR(VLOOKUP($A171,Sheet1!$A$1:$D$29,4,0),"")</f>
        <v/>
      </c>
    </row>
    <row r="172" spans="1:9" x14ac:dyDescent="0.3">
      <c r="A172" t="s">
        <v>176</v>
      </c>
      <c r="B172">
        <v>6.7335328291581495E-2</v>
      </c>
      <c r="C172">
        <v>0.5</v>
      </c>
      <c r="D172">
        <v>0.118229843509432</v>
      </c>
      <c r="E172">
        <v>9.6955936148370794E-2</v>
      </c>
      <c r="F172">
        <v>0.217335328291581</v>
      </c>
      <c r="G172" t="str">
        <f>IFERROR(VLOOKUP($A172,Sheet1!$A$1:$D$29,2,0),"")</f>
        <v/>
      </c>
      <c r="H172" t="str">
        <f>IFERROR(VLOOKUP($A172,Sheet1!$A$1:$D$29,3,0),"")</f>
        <v/>
      </c>
      <c r="I172" t="str">
        <f>IFERROR(VLOOKUP($A172,Sheet1!$A$1:$D$29,4,0),"")</f>
        <v/>
      </c>
    </row>
    <row r="173" spans="1:9" x14ac:dyDescent="0.3">
      <c r="A173" t="s">
        <v>177</v>
      </c>
      <c r="B173">
        <v>0.240983894078172</v>
      </c>
      <c r="C173">
        <v>0.5</v>
      </c>
      <c r="D173">
        <v>0.29187840929602299</v>
      </c>
      <c r="E173">
        <v>0.27060450193496099</v>
      </c>
      <c r="F173">
        <v>0.39098389407817202</v>
      </c>
      <c r="G173">
        <f>IFERROR(VLOOKUP($A173,Sheet1!$A$1:$D$29,2,0),"")</f>
        <v>0.526200818679599</v>
      </c>
      <c r="H173">
        <f>IFERROR(VLOOKUP($A173,Sheet1!$A$1:$D$29,3,0),"")</f>
        <v>0</v>
      </c>
      <c r="I173">
        <f>IFERROR(VLOOKUP($A173,Sheet1!$A$1:$D$29,4,0),"")</f>
        <v>0.240983894078172</v>
      </c>
    </row>
    <row r="174" spans="1:9" x14ac:dyDescent="0.3">
      <c r="A174" t="s">
        <v>178</v>
      </c>
      <c r="B174">
        <v>0.11449178189891</v>
      </c>
      <c r="C174">
        <v>0.5</v>
      </c>
      <c r="D174">
        <v>0.16538629711676101</v>
      </c>
      <c r="E174">
        <v>0.14411238975569901</v>
      </c>
      <c r="F174">
        <v>0.26449178189890998</v>
      </c>
      <c r="G174" t="str">
        <f>IFERROR(VLOOKUP($A174,Sheet1!$A$1:$D$29,2,0),"")</f>
        <v/>
      </c>
      <c r="H174" t="str">
        <f>IFERROR(VLOOKUP($A174,Sheet1!$A$1:$D$29,3,0),"")</f>
        <v/>
      </c>
      <c r="I174" t="str">
        <f>IFERROR(VLOOKUP($A174,Sheet1!$A$1:$D$29,4,0),"")</f>
        <v/>
      </c>
    </row>
    <row r="175" spans="1:9" x14ac:dyDescent="0.3">
      <c r="A175" t="s">
        <v>179</v>
      </c>
      <c r="B175">
        <v>7.9256635965126804E-2</v>
      </c>
      <c r="C175">
        <v>0.5</v>
      </c>
      <c r="D175">
        <v>0.13015115118297799</v>
      </c>
      <c r="E175">
        <v>0.10887724382191601</v>
      </c>
      <c r="F175">
        <v>0.22925663596512699</v>
      </c>
      <c r="G175" t="str">
        <f>IFERROR(VLOOKUP($A175,Sheet1!$A$1:$D$29,2,0),"")</f>
        <v/>
      </c>
      <c r="H175" t="str">
        <f>IFERROR(VLOOKUP($A175,Sheet1!$A$1:$D$29,3,0),"")</f>
        <v/>
      </c>
      <c r="I175" t="str">
        <f>IFERROR(VLOOKUP($A175,Sheet1!$A$1:$D$29,4,0),"")</f>
        <v/>
      </c>
    </row>
    <row r="176" spans="1:9" x14ac:dyDescent="0.3">
      <c r="A176" t="s">
        <v>180</v>
      </c>
      <c r="B176">
        <v>0.19321770091520801</v>
      </c>
      <c r="C176">
        <v>0.5</v>
      </c>
      <c r="D176">
        <v>0.244112216133059</v>
      </c>
      <c r="E176">
        <v>0.22283830877199701</v>
      </c>
      <c r="F176">
        <v>0.34321770091520798</v>
      </c>
      <c r="G176">
        <f>IFERROR(VLOOKUP($A176,Sheet1!$A$1:$D$29,2,0),"")</f>
        <v>0.43812069544063797</v>
      </c>
      <c r="H176">
        <f>IFERROR(VLOOKUP($A176,Sheet1!$A$1:$D$29,3,0),"")</f>
        <v>0</v>
      </c>
      <c r="I176">
        <f>IFERROR(VLOOKUP($A176,Sheet1!$A$1:$D$29,4,0),"")</f>
        <v>0.19321770091520801</v>
      </c>
    </row>
    <row r="177" spans="1:9" x14ac:dyDescent="0.3">
      <c r="A177" t="s">
        <v>181</v>
      </c>
      <c r="B177">
        <v>0.127275025409127</v>
      </c>
      <c r="C177">
        <v>0.5</v>
      </c>
      <c r="D177">
        <v>0.17816954062697801</v>
      </c>
      <c r="E177">
        <v>0.15689563326591599</v>
      </c>
      <c r="F177">
        <v>0.27727502540912702</v>
      </c>
      <c r="G177" t="str">
        <f>IFERROR(VLOOKUP($A177,Sheet1!$A$1:$D$29,2,0),"")</f>
        <v/>
      </c>
      <c r="H177" t="str">
        <f>IFERROR(VLOOKUP($A177,Sheet1!$A$1:$D$29,3,0),"")</f>
        <v/>
      </c>
      <c r="I177" t="str">
        <f>IFERROR(VLOOKUP($A177,Sheet1!$A$1:$D$29,4,0),"")</f>
        <v/>
      </c>
    </row>
    <row r="178" spans="1:9" x14ac:dyDescent="0.3">
      <c r="A178" t="s">
        <v>182</v>
      </c>
      <c r="B178">
        <v>0.30413498313132298</v>
      </c>
      <c r="C178">
        <v>0.5</v>
      </c>
      <c r="D178">
        <v>0.35502949834917402</v>
      </c>
      <c r="E178">
        <v>0.33375559098811203</v>
      </c>
      <c r="F178">
        <v>0.454134983131323</v>
      </c>
      <c r="G178" t="str">
        <f>IFERROR(VLOOKUP($A178,Sheet1!$A$1:$D$29,2,0),"")</f>
        <v/>
      </c>
      <c r="H178" t="str">
        <f>IFERROR(VLOOKUP($A178,Sheet1!$A$1:$D$29,3,0),"")</f>
        <v/>
      </c>
      <c r="I178" t="str">
        <f>IFERROR(VLOOKUP($A178,Sheet1!$A$1:$D$29,4,0),"")</f>
        <v/>
      </c>
    </row>
    <row r="179" spans="1:9" x14ac:dyDescent="0.3">
      <c r="A179" t="s">
        <v>183</v>
      </c>
      <c r="B179">
        <v>0.10178448184760799</v>
      </c>
      <c r="C179">
        <v>0.5</v>
      </c>
      <c r="D179">
        <v>0.15267899706545901</v>
      </c>
      <c r="E179">
        <v>0.13140508970439699</v>
      </c>
      <c r="F179">
        <v>0.25178448184760799</v>
      </c>
      <c r="G179" t="str">
        <f>IFERROR(VLOOKUP($A179,Sheet1!$A$1:$D$29,2,0),"")</f>
        <v/>
      </c>
      <c r="H179" t="str">
        <f>IFERROR(VLOOKUP($A179,Sheet1!$A$1:$D$29,3,0),"")</f>
        <v/>
      </c>
      <c r="I179" t="str">
        <f>IFERROR(VLOOKUP($A179,Sheet1!$A$1:$D$29,4,0),"")</f>
        <v/>
      </c>
    </row>
    <row r="180" spans="1:9" x14ac:dyDescent="0.3">
      <c r="A180" t="s">
        <v>184</v>
      </c>
      <c r="B180">
        <v>7.2489598488212306E-2</v>
      </c>
      <c r="C180">
        <v>0.5</v>
      </c>
      <c r="D180">
        <v>0.123384113706063</v>
      </c>
      <c r="E180">
        <v>0.10211020634500199</v>
      </c>
      <c r="F180">
        <v>0.22248959848821201</v>
      </c>
      <c r="G180">
        <f>IFERROR(VLOOKUP($A180,Sheet1!$A$1:$D$29,2,0),"")</f>
        <v>0.28161570403926001</v>
      </c>
      <c r="H180">
        <f>IFERROR(VLOOKUP($A180,Sheet1!$A$1:$D$29,3,0),"")</f>
        <v>0</v>
      </c>
      <c r="I180">
        <f>IFERROR(VLOOKUP($A180,Sheet1!$A$1:$D$29,4,0),"")</f>
        <v>7.2489598488212306E-2</v>
      </c>
    </row>
    <row r="181" spans="1:9" x14ac:dyDescent="0.3">
      <c r="A181" t="s">
        <v>185</v>
      </c>
      <c r="B181">
        <v>0.11706922779885801</v>
      </c>
      <c r="C181">
        <v>0.5</v>
      </c>
      <c r="D181">
        <v>0.16796374301670899</v>
      </c>
      <c r="E181">
        <v>0.146689835655647</v>
      </c>
      <c r="F181">
        <v>0.267069227798858</v>
      </c>
      <c r="G181" t="str">
        <f>IFERROR(VLOOKUP($A181,Sheet1!$A$1:$D$29,2,0),"")</f>
        <v/>
      </c>
      <c r="H181" t="str">
        <f>IFERROR(VLOOKUP($A181,Sheet1!$A$1:$D$29,3,0),"")</f>
        <v/>
      </c>
      <c r="I181" t="str">
        <f>IFERROR(VLOOKUP($A181,Sheet1!$A$1:$D$29,4,0),"")</f>
        <v/>
      </c>
    </row>
    <row r="182" spans="1:9" x14ac:dyDescent="0.3">
      <c r="A182" t="s">
        <v>186</v>
      </c>
      <c r="B182">
        <v>0.190833098265249</v>
      </c>
      <c r="C182">
        <v>0.5</v>
      </c>
      <c r="D182">
        <v>0.24172761348310001</v>
      </c>
      <c r="E182">
        <v>0.22045370612203799</v>
      </c>
      <c r="F182">
        <v>0.34083309826524899</v>
      </c>
      <c r="G182" t="str">
        <f>IFERROR(VLOOKUP($A182,Sheet1!$A$1:$D$29,2,0),"")</f>
        <v/>
      </c>
      <c r="H182" t="str">
        <f>IFERROR(VLOOKUP($A182,Sheet1!$A$1:$D$29,3,0),"")</f>
        <v/>
      </c>
      <c r="I182" t="str">
        <f>IFERROR(VLOOKUP($A182,Sheet1!$A$1:$D$29,4,0),"")</f>
        <v/>
      </c>
    </row>
    <row r="183" spans="1:9" x14ac:dyDescent="0.3">
      <c r="A183" t="s">
        <v>187</v>
      </c>
      <c r="B183">
        <v>0.30459848560633501</v>
      </c>
      <c r="C183">
        <v>0.5</v>
      </c>
      <c r="D183">
        <v>0.355493000824186</v>
      </c>
      <c r="E183">
        <v>0.33421909346312401</v>
      </c>
      <c r="F183">
        <v>0.45459848560633498</v>
      </c>
      <c r="G183" t="str">
        <f>IFERROR(VLOOKUP($A183,Sheet1!$A$1:$D$29,2,0),"")</f>
        <v/>
      </c>
      <c r="H183" t="str">
        <f>IFERROR(VLOOKUP($A183,Sheet1!$A$1:$D$29,3,0),"")</f>
        <v/>
      </c>
      <c r="I183" t="str">
        <f>IFERROR(VLOOKUP($A183,Sheet1!$A$1:$D$29,4,0),"")</f>
        <v/>
      </c>
    </row>
    <row r="184" spans="1:9" x14ac:dyDescent="0.3">
      <c r="A184" t="s">
        <v>188</v>
      </c>
      <c r="B184">
        <v>0.45591214413644499</v>
      </c>
      <c r="C184">
        <v>0.5</v>
      </c>
      <c r="D184">
        <v>0.50680665935429603</v>
      </c>
      <c r="E184">
        <v>0.48553275199323398</v>
      </c>
      <c r="F184">
        <v>0.60591214413644501</v>
      </c>
      <c r="G184" t="str">
        <f>IFERROR(VLOOKUP($A184,Sheet1!$A$1:$D$29,2,0),"")</f>
        <v/>
      </c>
      <c r="H184" t="str">
        <f>IFERROR(VLOOKUP($A184,Sheet1!$A$1:$D$29,3,0),"")</f>
        <v/>
      </c>
      <c r="I184" t="str">
        <f>IFERROR(VLOOKUP($A184,Sheet1!$A$1:$D$29,4,0),"")</f>
        <v/>
      </c>
    </row>
    <row r="185" spans="1:9" x14ac:dyDescent="0.3">
      <c r="A185" t="s">
        <v>189</v>
      </c>
      <c r="B185">
        <v>0.26435313218546203</v>
      </c>
      <c r="C185">
        <v>0.5</v>
      </c>
      <c r="D185">
        <v>0.31524764740331301</v>
      </c>
      <c r="E185">
        <v>0.29397374004225102</v>
      </c>
      <c r="F185">
        <v>0.41435313218546199</v>
      </c>
      <c r="G185" t="str">
        <f>IFERROR(VLOOKUP($A185,Sheet1!$A$1:$D$29,2,0),"")</f>
        <v/>
      </c>
      <c r="H185" t="str">
        <f>IFERROR(VLOOKUP($A185,Sheet1!$A$1:$D$29,3,0),"")</f>
        <v/>
      </c>
      <c r="I185" t="str">
        <f>IFERROR(VLOOKUP($A185,Sheet1!$A$1:$D$29,4,0),"")</f>
        <v/>
      </c>
    </row>
    <row r="186" spans="1:9" x14ac:dyDescent="0.3">
      <c r="A186" t="s">
        <v>190</v>
      </c>
      <c r="B186">
        <v>0.14242895448374901</v>
      </c>
      <c r="C186">
        <v>0.5</v>
      </c>
      <c r="D186">
        <v>0.1933234697016</v>
      </c>
      <c r="E186">
        <v>0.172049562340538</v>
      </c>
      <c r="F186">
        <v>0.292428954483749</v>
      </c>
      <c r="G186" t="str">
        <f>IFERROR(VLOOKUP($A186,Sheet1!$A$1:$D$29,2,0),"")</f>
        <v/>
      </c>
      <c r="H186" t="str">
        <f>IFERROR(VLOOKUP($A186,Sheet1!$A$1:$D$29,3,0),"")</f>
        <v/>
      </c>
      <c r="I186" t="str">
        <f>IFERROR(VLOOKUP($A186,Sheet1!$A$1:$D$29,4,0),"")</f>
        <v/>
      </c>
    </row>
    <row r="187" spans="1:9" x14ac:dyDescent="0.3">
      <c r="A187" t="s">
        <v>191</v>
      </c>
      <c r="B187">
        <v>4.4031158515397302E-2</v>
      </c>
      <c r="C187">
        <v>0.5</v>
      </c>
      <c r="D187">
        <v>9.4925673733248297E-2</v>
      </c>
      <c r="E187">
        <v>7.3651766372186595E-2</v>
      </c>
      <c r="F187">
        <v>0.19403115851539701</v>
      </c>
      <c r="G187" t="str">
        <f>IFERROR(VLOOKUP($A187,Sheet1!$A$1:$D$29,2,0),"")</f>
        <v/>
      </c>
      <c r="H187" t="str">
        <f>IFERROR(VLOOKUP($A187,Sheet1!$A$1:$D$29,3,0),"")</f>
        <v/>
      </c>
      <c r="I187" t="str">
        <f>IFERROR(VLOOKUP($A187,Sheet1!$A$1:$D$29,4,0),"")</f>
        <v/>
      </c>
    </row>
    <row r="188" spans="1:9" x14ac:dyDescent="0.3">
      <c r="A188" t="s">
        <v>192</v>
      </c>
      <c r="B188">
        <v>0.27880852089435099</v>
      </c>
      <c r="C188">
        <v>0.5</v>
      </c>
      <c r="D188">
        <v>0.32970303611220197</v>
      </c>
      <c r="E188">
        <v>0.30842912875113998</v>
      </c>
      <c r="F188">
        <v>0.42880852089435101</v>
      </c>
      <c r="G188" t="str">
        <f>IFERROR(VLOOKUP($A188,Sheet1!$A$1:$D$29,2,0),"")</f>
        <v/>
      </c>
      <c r="H188" t="str">
        <f>IFERROR(VLOOKUP($A188,Sheet1!$A$1:$D$29,3,0),"")</f>
        <v/>
      </c>
      <c r="I188" t="str">
        <f>IFERROR(VLOOKUP($A188,Sheet1!$A$1:$D$29,4,0),"")</f>
        <v/>
      </c>
    </row>
    <row r="189" spans="1:9" x14ac:dyDescent="0.3">
      <c r="A189" t="s">
        <v>193</v>
      </c>
      <c r="B189">
        <v>0.11822399077401199</v>
      </c>
      <c r="C189">
        <v>0.5</v>
      </c>
      <c r="D189">
        <v>0.16911850599186301</v>
      </c>
      <c r="E189">
        <v>0.14784459863080099</v>
      </c>
      <c r="F189">
        <v>0.26822399077401199</v>
      </c>
      <c r="G189">
        <f>IFERROR(VLOOKUP($A189,Sheet1!$A$1:$D$29,2,0),"")</f>
        <v>0.19466484241463899</v>
      </c>
      <c r="H189">
        <f>IFERROR(VLOOKUP($A189,Sheet1!$A$1:$D$29,3,0),"")</f>
        <v>0</v>
      </c>
      <c r="I189">
        <f>IFERROR(VLOOKUP($A189,Sheet1!$A$1:$D$29,4,0),"")</f>
        <v>0.11822399077401199</v>
      </c>
    </row>
    <row r="190" spans="1:9" x14ac:dyDescent="0.3">
      <c r="A190" t="s">
        <v>194</v>
      </c>
      <c r="B190">
        <v>0.155591246612448</v>
      </c>
      <c r="C190">
        <v>0.5</v>
      </c>
      <c r="D190">
        <v>0.20648576183029899</v>
      </c>
      <c r="E190">
        <v>0.18521185446923699</v>
      </c>
      <c r="F190">
        <v>0.30559124661244802</v>
      </c>
      <c r="G190" t="str">
        <f>IFERROR(VLOOKUP($A190,Sheet1!$A$1:$D$29,2,0),"")</f>
        <v/>
      </c>
      <c r="H190" t="str">
        <f>IFERROR(VLOOKUP($A190,Sheet1!$A$1:$D$29,3,0),"")</f>
        <v/>
      </c>
      <c r="I190" t="str">
        <f>IFERROR(VLOOKUP($A190,Sheet1!$A$1:$D$29,4,0),"")</f>
        <v/>
      </c>
    </row>
    <row r="191" spans="1:9" x14ac:dyDescent="0.3">
      <c r="A191" t="s">
        <v>195</v>
      </c>
      <c r="B191">
        <v>8.2878300900688998E-2</v>
      </c>
      <c r="C191">
        <v>0.5</v>
      </c>
      <c r="D191">
        <v>0.13377281611854</v>
      </c>
      <c r="E191">
        <v>0.11249890875747801</v>
      </c>
      <c r="F191">
        <v>0.23287830090068901</v>
      </c>
      <c r="G191" t="str">
        <f>IFERROR(VLOOKUP($A191,Sheet1!$A$1:$D$29,2,0),"")</f>
        <v/>
      </c>
      <c r="H191" t="str">
        <f>IFERROR(VLOOKUP($A191,Sheet1!$A$1:$D$29,3,0),"")</f>
        <v/>
      </c>
      <c r="I191" t="str">
        <f>IFERROR(VLOOKUP($A191,Sheet1!$A$1:$D$29,4,0),"")</f>
        <v/>
      </c>
    </row>
    <row r="192" spans="1:9" x14ac:dyDescent="0.3">
      <c r="A192" t="s">
        <v>196</v>
      </c>
      <c r="B192">
        <v>0.15091337657248</v>
      </c>
      <c r="C192">
        <v>0.5</v>
      </c>
      <c r="D192">
        <v>0.20180789179033101</v>
      </c>
      <c r="E192">
        <v>0.18053398442926899</v>
      </c>
      <c r="F192">
        <v>0.30091337657248002</v>
      </c>
      <c r="G192" t="str">
        <f>IFERROR(VLOOKUP($A192,Sheet1!$A$1:$D$29,2,0),"")</f>
        <v/>
      </c>
      <c r="H192" t="str">
        <f>IFERROR(VLOOKUP($A192,Sheet1!$A$1:$D$29,3,0),"")</f>
        <v/>
      </c>
      <c r="I192" t="str">
        <f>IFERROR(VLOOKUP($A192,Sheet1!$A$1:$D$29,4,0),"")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660B-A5EA-4FC8-AD01-0D55EF624D14}">
  <dimension ref="A1:D29"/>
  <sheetViews>
    <sheetView workbookViewId="0">
      <selection activeCell="B1" sqref="B1:D1"/>
    </sheetView>
  </sheetViews>
  <sheetFormatPr defaultRowHeight="14.4" x14ac:dyDescent="0.3"/>
  <cols>
    <col min="2" max="2" width="18.44140625" bestFit="1" customWidth="1"/>
    <col min="4" max="4" width="25.77734375" bestFit="1" customWidth="1"/>
  </cols>
  <sheetData>
    <row r="1" spans="1:4" x14ac:dyDescent="0.3">
      <c r="A1" t="s">
        <v>0</v>
      </c>
      <c r="B1" t="s">
        <v>197</v>
      </c>
      <c r="C1" t="s">
        <v>198</v>
      </c>
      <c r="D1" t="s">
        <v>199</v>
      </c>
    </row>
    <row r="2" spans="1:4" x14ac:dyDescent="0.3">
      <c r="A2" t="s">
        <v>13</v>
      </c>
      <c r="B2">
        <v>0.32210414361446199</v>
      </c>
      <c r="C2">
        <v>0</v>
      </c>
      <c r="D2">
        <v>0.123638651013072</v>
      </c>
    </row>
    <row r="3" spans="1:4" x14ac:dyDescent="0.3">
      <c r="A3" t="s">
        <v>20</v>
      </c>
      <c r="B3">
        <v>0.38969150967382499</v>
      </c>
      <c r="C3">
        <v>0</v>
      </c>
      <c r="D3">
        <v>0.143925810911918</v>
      </c>
    </row>
    <row r="4" spans="1:4" x14ac:dyDescent="0.3">
      <c r="A4" t="s">
        <v>26</v>
      </c>
      <c r="B4">
        <v>0</v>
      </c>
      <c r="C4">
        <v>0</v>
      </c>
      <c r="D4">
        <v>0</v>
      </c>
    </row>
    <row r="5" spans="1:4" x14ac:dyDescent="0.3">
      <c r="A5" t="s">
        <v>28</v>
      </c>
      <c r="B5">
        <v>0.62757242757242804</v>
      </c>
      <c r="C5">
        <v>0</v>
      </c>
      <c r="D5">
        <v>0.22199984736260001</v>
      </c>
    </row>
    <row r="6" spans="1:4" x14ac:dyDescent="0.3">
      <c r="A6" t="s">
        <v>42</v>
      </c>
      <c r="B6">
        <v>0.41239657685972297</v>
      </c>
      <c r="C6">
        <v>0</v>
      </c>
      <c r="D6">
        <v>0.28943373769116998</v>
      </c>
    </row>
    <row r="7" spans="1:4" x14ac:dyDescent="0.3">
      <c r="A7" t="s">
        <v>43</v>
      </c>
      <c r="B7">
        <v>2.8518749523416601E-2</v>
      </c>
      <c r="C7">
        <v>0</v>
      </c>
      <c r="D7">
        <v>2.8518749523416601E-2</v>
      </c>
    </row>
    <row r="8" spans="1:4" x14ac:dyDescent="0.3">
      <c r="A8" t="s">
        <v>44</v>
      </c>
      <c r="B8">
        <v>0</v>
      </c>
      <c r="C8">
        <v>0</v>
      </c>
      <c r="D8">
        <v>0</v>
      </c>
    </row>
    <row r="9" spans="1:4" x14ac:dyDescent="0.3">
      <c r="A9" t="s">
        <v>49</v>
      </c>
      <c r="B9">
        <v>0.29116375353322999</v>
      </c>
      <c r="C9">
        <v>0</v>
      </c>
      <c r="D9">
        <v>0.29116375353322999</v>
      </c>
    </row>
    <row r="10" spans="1:4" x14ac:dyDescent="0.3">
      <c r="A10" t="s">
        <v>57</v>
      </c>
      <c r="B10">
        <v>0.395765132127331</v>
      </c>
      <c r="C10">
        <v>0</v>
      </c>
      <c r="D10">
        <v>0.194948367639588</v>
      </c>
    </row>
    <row r="11" spans="1:4" x14ac:dyDescent="0.3">
      <c r="A11" t="s">
        <v>58</v>
      </c>
      <c r="B11">
        <v>0.81897142626740504</v>
      </c>
      <c r="C11">
        <v>0</v>
      </c>
      <c r="D11">
        <v>0.22562758474760999</v>
      </c>
    </row>
    <row r="12" spans="1:4" x14ac:dyDescent="0.3">
      <c r="A12" t="s">
        <v>60</v>
      </c>
      <c r="B12">
        <v>0.71808457497601097</v>
      </c>
      <c r="C12">
        <v>0</v>
      </c>
      <c r="D12">
        <v>0.31877541863648001</v>
      </c>
    </row>
    <row r="13" spans="1:4" x14ac:dyDescent="0.3">
      <c r="A13" t="s">
        <v>65</v>
      </c>
      <c r="B13">
        <v>0.36001899775270502</v>
      </c>
      <c r="C13">
        <v>0</v>
      </c>
      <c r="D13">
        <v>6.0184512369212802E-2</v>
      </c>
    </row>
    <row r="14" spans="1:4" x14ac:dyDescent="0.3">
      <c r="A14" t="s">
        <v>80</v>
      </c>
      <c r="B14">
        <v>0.59866754571636804</v>
      </c>
      <c r="C14">
        <v>0</v>
      </c>
      <c r="D14">
        <v>0.184022150393821</v>
      </c>
    </row>
    <row r="15" spans="1:4" x14ac:dyDescent="0.3">
      <c r="A15" t="s">
        <v>85</v>
      </c>
      <c r="B15">
        <v>0.169314181625733</v>
      </c>
      <c r="C15">
        <v>0</v>
      </c>
      <c r="D15">
        <v>0.134912063273285</v>
      </c>
    </row>
    <row r="16" spans="1:4" x14ac:dyDescent="0.3">
      <c r="A16" t="s">
        <v>86</v>
      </c>
      <c r="B16">
        <v>6.6962186186272393E-2</v>
      </c>
      <c r="C16">
        <v>0</v>
      </c>
      <c r="D16">
        <v>4.02774975269082E-2</v>
      </c>
    </row>
    <row r="17" spans="1:4" x14ac:dyDescent="0.3">
      <c r="A17" t="s">
        <v>118</v>
      </c>
      <c r="B17">
        <v>0.54133246603787699</v>
      </c>
      <c r="C17">
        <v>0</v>
      </c>
      <c r="D17">
        <v>0.241534623810025</v>
      </c>
    </row>
    <row r="18" spans="1:4" x14ac:dyDescent="0.3">
      <c r="A18" t="s">
        <v>131</v>
      </c>
      <c r="B18">
        <v>0.21646032731192599</v>
      </c>
      <c r="C18">
        <v>0</v>
      </c>
      <c r="D18">
        <v>0.112232450844304</v>
      </c>
    </row>
    <row r="19" spans="1:4" x14ac:dyDescent="0.3">
      <c r="A19" t="s">
        <v>135</v>
      </c>
      <c r="B19">
        <v>6.4584811923349902E-2</v>
      </c>
      <c r="C19">
        <v>0</v>
      </c>
      <c r="D19">
        <v>6.4584811923349902E-2</v>
      </c>
    </row>
    <row r="20" spans="1:4" x14ac:dyDescent="0.3">
      <c r="A20" t="s">
        <v>137</v>
      </c>
      <c r="B20">
        <v>0.43792771487767601</v>
      </c>
      <c r="C20">
        <v>0</v>
      </c>
      <c r="D20">
        <v>0.24210314615546699</v>
      </c>
    </row>
    <row r="21" spans="1:4" x14ac:dyDescent="0.3">
      <c r="A21" t="s">
        <v>140</v>
      </c>
      <c r="B21">
        <v>0.27137055704109198</v>
      </c>
      <c r="C21">
        <v>0</v>
      </c>
      <c r="D21">
        <v>0.163559451483555</v>
      </c>
    </row>
    <row r="22" spans="1:4" x14ac:dyDescent="0.3">
      <c r="A22" t="s">
        <v>141</v>
      </c>
      <c r="B22">
        <v>0.50376399370740099</v>
      </c>
      <c r="C22">
        <v>0</v>
      </c>
      <c r="D22">
        <v>0.15295645225525201</v>
      </c>
    </row>
    <row r="23" spans="1:4" x14ac:dyDescent="0.3">
      <c r="A23" t="s">
        <v>151</v>
      </c>
      <c r="B23">
        <v>0.473064644852354</v>
      </c>
      <c r="C23">
        <v>0</v>
      </c>
      <c r="D23">
        <v>0.17001465580830899</v>
      </c>
    </row>
    <row r="24" spans="1:4" x14ac:dyDescent="0.3">
      <c r="A24" t="s">
        <v>168</v>
      </c>
      <c r="B24">
        <v>1.3290655561585599E-4</v>
      </c>
      <c r="C24">
        <v>0</v>
      </c>
      <c r="D24">
        <v>1.3290655561585599E-4</v>
      </c>
    </row>
    <row r="25" spans="1:4" x14ac:dyDescent="0.3">
      <c r="A25" t="s">
        <v>170</v>
      </c>
      <c r="B25">
        <v>0</v>
      </c>
      <c r="C25">
        <v>0</v>
      </c>
      <c r="D25">
        <v>0</v>
      </c>
    </row>
    <row r="26" spans="1:4" x14ac:dyDescent="0.3">
      <c r="A26" t="s">
        <v>177</v>
      </c>
      <c r="B26">
        <v>0.526200818679599</v>
      </c>
      <c r="C26">
        <v>0</v>
      </c>
      <c r="D26">
        <v>0.240983894078172</v>
      </c>
    </row>
    <row r="27" spans="1:4" x14ac:dyDescent="0.3">
      <c r="A27" t="s">
        <v>180</v>
      </c>
      <c r="B27">
        <v>0.43812069544063797</v>
      </c>
      <c r="C27">
        <v>0</v>
      </c>
      <c r="D27">
        <v>0.19321770091520801</v>
      </c>
    </row>
    <row r="28" spans="1:4" x14ac:dyDescent="0.3">
      <c r="A28" t="s">
        <v>184</v>
      </c>
      <c r="B28">
        <v>0.28161570403926001</v>
      </c>
      <c r="C28">
        <v>0</v>
      </c>
      <c r="D28">
        <v>7.2489598488212306E-2</v>
      </c>
    </row>
    <row r="29" spans="1:4" x14ac:dyDescent="0.3">
      <c r="A29" t="s">
        <v>193</v>
      </c>
      <c r="B29">
        <v>0.19466484241463899</v>
      </c>
      <c r="C29">
        <v>0</v>
      </c>
      <c r="D29">
        <v>0.11822399077401199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htn_control_targets_by_loc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R Garcia</cp:lastModifiedBy>
  <dcterms:created xsi:type="dcterms:W3CDTF">2026-03-23T01:44:53Z</dcterms:created>
  <dcterms:modified xsi:type="dcterms:W3CDTF">2026-03-23T01:55:54Z</dcterms:modified>
</cp:coreProperties>
</file>